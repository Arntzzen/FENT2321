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codeName="ThisWorkbook"/>
  <mc:AlternateContent xmlns:mc="http://schemas.openxmlformats.org/markup-compatibility/2006">
    <mc:Choice Requires="x15">
      <x15ac:absPath xmlns:x15ac="http://schemas.microsoft.com/office/spreadsheetml/2010/11/ac" url="C:\Users\marku\Desktop\FENT2321\Assignment 5\"/>
    </mc:Choice>
  </mc:AlternateContent>
  <xr:revisionPtr revIDLastSave="0" documentId="13_ncr:1_{00A05E60-82E8-47D3-8D3F-A27111AF7B28}" xr6:coauthVersionLast="47" xr6:coauthVersionMax="47" xr10:uidLastSave="{00000000-0000-0000-0000-000000000000}"/>
  <bookViews>
    <workbookView xWindow="-120" yWindow="-120" windowWidth="29040" windowHeight="15840" xr2:uid="{00000000-000D-0000-FFFF-FFFF00000000}"/>
  </bookViews>
  <sheets>
    <sheet name="DESIG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8" i="1" l="1"/>
  <c r="C49" i="1" s="1"/>
  <c r="C50" i="1" s="1"/>
  <c r="C72" i="1"/>
  <c r="C58" i="1"/>
  <c r="C55" i="1"/>
  <c r="C56" i="1" s="1"/>
  <c r="C63" i="1"/>
  <c r="B97" i="1"/>
  <c r="C40" i="1"/>
  <c r="C41" i="1"/>
  <c r="C77" i="1"/>
  <c r="C93" i="1"/>
  <c r="C94" i="1"/>
  <c r="C57" i="1" l="1"/>
  <c r="C64" i="1"/>
  <c r="C60" i="1" s="1"/>
  <c r="C83" i="1" s="1"/>
  <c r="C65" i="1"/>
  <c r="C66" i="1" s="1"/>
  <c r="C67" i="1" l="1"/>
  <c r="C82" i="1"/>
  <c r="C71" i="1" l="1"/>
  <c r="C68" i="1"/>
  <c r="C70" i="1" s="1"/>
  <c r="C73" i="1" l="1"/>
  <c r="C74" i="1" s="1"/>
  <c r="C76" i="1" l="1"/>
  <c r="C97" i="1"/>
  <c r="C84" i="1" l="1"/>
  <c r="C78" i="1"/>
</calcChain>
</file>

<file path=xl/sharedStrings.xml><?xml version="1.0" encoding="utf-8"?>
<sst xmlns="http://schemas.openxmlformats.org/spreadsheetml/2006/main" count="242" uniqueCount="208">
  <si>
    <t>Generator design sheet</t>
  </si>
  <si>
    <t>Turbine design outputs</t>
  </si>
  <si>
    <t>Design variables (within constraints)</t>
  </si>
  <si>
    <r>
      <t xml:space="preserve">Fixed parameters </t>
    </r>
    <r>
      <rPr>
        <b/>
        <sz val="11"/>
        <color theme="1"/>
        <rFont val="Calibri"/>
        <family val="2"/>
        <scheme val="minor"/>
      </rPr>
      <t>(</t>
    </r>
    <r>
      <rPr>
        <sz val="11"/>
        <color theme="1"/>
        <rFont val="Calibri"/>
        <family val="2"/>
        <scheme val="minor"/>
      </rPr>
      <t xml:space="preserve">can be found in lab manual; </t>
    </r>
    <r>
      <rPr>
        <b/>
        <sz val="11"/>
        <color theme="1"/>
        <rFont val="Calibri"/>
        <family val="2"/>
        <scheme val="minor"/>
      </rPr>
      <t>should not change once filled out)</t>
    </r>
  </si>
  <si>
    <t>Tuning variable to match the torques</t>
  </si>
  <si>
    <t>Calculations (insert equation)</t>
  </si>
  <si>
    <t>GOALS</t>
  </si>
  <si>
    <t>Symbol</t>
  </si>
  <si>
    <t>Value</t>
  </si>
  <si>
    <t>Unit</t>
  </si>
  <si>
    <t>Typical values</t>
  </si>
  <si>
    <t>Comments</t>
  </si>
  <si>
    <t>USER INPUT</t>
  </si>
  <si>
    <t>Turbine design rotational speed</t>
  </si>
  <si>
    <t>RPM</t>
  </si>
  <si>
    <t>800-2000</t>
  </si>
  <si>
    <t>Turbine design output</t>
  </si>
  <si>
    <t>Turbine design torque</t>
  </si>
  <si>
    <t>Taero</t>
  </si>
  <si>
    <t>Nm</t>
  </si>
  <si>
    <t>0,5-3</t>
  </si>
  <si>
    <t>Geometry</t>
  </si>
  <si>
    <t>Distance from axle to outer acrylic tube surface</t>
  </si>
  <si>
    <t>DistMin</t>
  </si>
  <si>
    <t>m</t>
  </si>
  <si>
    <r>
      <t>Distance from center axle to acrylic tube surface.</t>
    </r>
    <r>
      <rPr>
        <b/>
        <sz val="11"/>
        <color theme="1"/>
        <rFont val="Calibri"/>
        <family val="2"/>
        <scheme val="minor"/>
      </rPr>
      <t xml:space="preserve"> Set by geometry</t>
    </r>
  </si>
  <si>
    <t>Coil thickness</t>
  </si>
  <si>
    <t>tcoil</t>
  </si>
  <si>
    <t>0,01-0,02</t>
  </si>
  <si>
    <t>Thickness of the coil bundle</t>
  </si>
  <si>
    <t>Rotor and flux</t>
  </si>
  <si>
    <t>Number of poles</t>
  </si>
  <si>
    <t>P</t>
  </si>
  <si>
    <t>[-]</t>
  </si>
  <si>
    <t>2 or 4</t>
  </si>
  <si>
    <t>The number of poles on the rotor. This is also the number of magnets</t>
  </si>
  <si>
    <t>Flux density (middle of coil in radial dir.)</t>
  </si>
  <si>
    <t>B</t>
  </si>
  <si>
    <t>Tesla</t>
  </si>
  <si>
    <t>0,1-0,25</t>
  </si>
  <si>
    <t>Should be calculated analytically or taken from the graph in the lab manual</t>
  </si>
  <si>
    <t>Stator (armature)</t>
  </si>
  <si>
    <t>Number of phases</t>
  </si>
  <si>
    <t>Nphase</t>
  </si>
  <si>
    <t>1 or 3</t>
  </si>
  <si>
    <t>Up to the designer's discretion</t>
  </si>
  <si>
    <t>Copper diameter</t>
  </si>
  <si>
    <t>Dcu</t>
  </si>
  <si>
    <t>Diameter of the copper wire. Two options are provided</t>
  </si>
  <si>
    <t>Number of turns per. coil</t>
  </si>
  <si>
    <t>Nturn</t>
  </si>
  <si>
    <t>20-60</t>
  </si>
  <si>
    <t>Higher number of turns gives higher induced voltage, but also higher winding resistance</t>
  </si>
  <si>
    <t>Active length of coil side</t>
  </si>
  <si>
    <t>Lactive</t>
  </si>
  <si>
    <t>Restricted by test setup. Cannot be larger than 200mm. Current rotor design has a magnet length of 120mm</t>
  </si>
  <si>
    <t xml:space="preserve">Length correction factor </t>
  </si>
  <si>
    <t>Lcorr</t>
  </si>
  <si>
    <t>Takes into account the extra length in the bends. 1.1 is a good reference value.</t>
  </si>
  <si>
    <t>Winding factor</t>
  </si>
  <si>
    <t>fw</t>
  </si>
  <si>
    <t>0.8 - 0.99</t>
  </si>
  <si>
    <t>0.9 is a good (conservative) estimation</t>
  </si>
  <si>
    <t>Number of coils in series (i.e. per phase)</t>
  </si>
  <si>
    <t>Ns</t>
  </si>
  <si>
    <t>1/2/4</t>
  </si>
  <si>
    <t>Depends on the winding layout chosen.</t>
  </si>
  <si>
    <t>Copper temperature</t>
  </si>
  <si>
    <t>Tcu</t>
  </si>
  <si>
    <t>C</t>
  </si>
  <si>
    <t>30-50 C</t>
  </si>
  <si>
    <t>Estimated copper temperature under operation</t>
  </si>
  <si>
    <t>Misc.</t>
  </si>
  <si>
    <t>Ref. number of turns per coil</t>
  </si>
  <si>
    <t>N0</t>
  </si>
  <si>
    <t>28 for radial</t>
  </si>
  <si>
    <t>Reference value for number of turns in a coil</t>
  </si>
  <si>
    <t>Ref. stator coils inductance pr phase (SINGLE-PHASE)</t>
  </si>
  <si>
    <t>Ls0</t>
  </si>
  <si>
    <t>H</t>
  </si>
  <si>
    <t>Inductance reference value for 28 turns SINGLE-PHASE and specified coil shape</t>
  </si>
  <si>
    <t>Ref. stator coils inductance pr phase (THREE-PHASE)</t>
  </si>
  <si>
    <t>Inductance reference value for 28 turns THREE-PHASE and specified coil shape</t>
  </si>
  <si>
    <t>Ref. rpm for mechanical losses</t>
  </si>
  <si>
    <t>RPM0</t>
  </si>
  <si>
    <t>Rotational speed used to calculate the reference value Ls0</t>
  </si>
  <si>
    <t>Ref. mechanical losses</t>
  </si>
  <si>
    <t>Ploss0</t>
  </si>
  <si>
    <t>W</t>
  </si>
  <si>
    <t>Friction and ventilation losses at the ref rpm</t>
  </si>
  <si>
    <t>Mechanical losses offset</t>
  </si>
  <si>
    <t>Floss offset</t>
  </si>
  <si>
    <t>Ref. temperature for copper</t>
  </si>
  <si>
    <t>T0</t>
  </si>
  <si>
    <t>Reference value for copper temperature</t>
  </si>
  <si>
    <t>Temperature coefficient of resistivity of copper</t>
  </si>
  <si>
    <t>alpha_cu</t>
  </si>
  <si>
    <t>1/C</t>
  </si>
  <si>
    <t>Temperature coefficient of the resistivity of copper</t>
  </si>
  <si>
    <t>Resistivity of copper</t>
  </si>
  <si>
    <t>rho_cu</t>
  </si>
  <si>
    <t>ohm*m</t>
  </si>
  <si>
    <t>Resistivity of copper at reference temperature</t>
  </si>
  <si>
    <t>Dynamic properties</t>
  </si>
  <si>
    <t>Resistance of load per phase</t>
  </si>
  <si>
    <t>Rload</t>
  </si>
  <si>
    <t>ohm</t>
  </si>
  <si>
    <t>0.5-50</t>
  </si>
  <si>
    <t>0 means short circuit, infinity means idling (tomgang)/broken curcuit</t>
  </si>
  <si>
    <t>DESIGN OUTPUT</t>
  </si>
  <si>
    <t>Stator coil geometry characteristics</t>
  </si>
  <si>
    <t>Wire length per turn</t>
  </si>
  <si>
    <t>Lturn</t>
  </si>
  <si>
    <t>+-0.5</t>
  </si>
  <si>
    <t>Length of thread per turn times a factor to get close a measured value.</t>
  </si>
  <si>
    <t>Length of wire per coil</t>
  </si>
  <si>
    <t>Lcoil</t>
  </si>
  <si>
    <t>Total length of wire in stator</t>
  </si>
  <si>
    <t>Lstator</t>
  </si>
  <si>
    <t>Stator electric characteristics</t>
  </si>
  <si>
    <t>Resistance correction factor for terminal connectors</t>
  </si>
  <si>
    <t>c_c</t>
  </si>
  <si>
    <t>1,05-1,15</t>
  </si>
  <si>
    <t>Found from measurements on 4-pole generator 56 turns performed 17.08.2017</t>
  </si>
  <si>
    <t>Resistance correction factor for increased temperature</t>
  </si>
  <si>
    <t>c_t</t>
  </si>
  <si>
    <t>1.05-1.1</t>
  </si>
  <si>
    <t>The temperature increases when the generator is in use</t>
  </si>
  <si>
    <t>Copper area</t>
  </si>
  <si>
    <t>Ac</t>
  </si>
  <si>
    <t>m^2</t>
  </si>
  <si>
    <t>Total resistance in stator per phase</t>
  </si>
  <si>
    <t>Rtot</t>
  </si>
  <si>
    <t>Stator inductance per phase</t>
  </si>
  <si>
    <t>Ls</t>
  </si>
  <si>
    <t>Frequency</t>
  </si>
  <si>
    <t>freq</t>
  </si>
  <si>
    <t>Hz</t>
  </si>
  <si>
    <t>Stator coil reactance per phase</t>
  </si>
  <si>
    <t>Xs</t>
  </si>
  <si>
    <t>Dynamic properties (RPM dependent)</t>
  </si>
  <si>
    <t>Mechanical angular velocity</t>
  </si>
  <si>
    <t>omega</t>
  </si>
  <si>
    <t>rad/s</t>
  </si>
  <si>
    <t>Electrical angular velocity</t>
  </si>
  <si>
    <t>omega_e</t>
  </si>
  <si>
    <t>Linear speed</t>
  </si>
  <si>
    <t>v_avg</t>
  </si>
  <si>
    <t>m/s</t>
  </si>
  <si>
    <t>Induced voltage (EMF) per phase, rms</t>
  </si>
  <si>
    <t>Einduced</t>
  </si>
  <si>
    <t>Volt (rms)</t>
  </si>
  <si>
    <t>Current per phase</t>
  </si>
  <si>
    <t>abs(I)</t>
  </si>
  <si>
    <t>amp</t>
  </si>
  <si>
    <t>0-10</t>
  </si>
  <si>
    <t>Phase terminal voltage</t>
  </si>
  <si>
    <t>Vterm</t>
  </si>
  <si>
    <t>Volt</t>
  </si>
  <si>
    <t>Electrical power (output power)</t>
  </si>
  <si>
    <t>Pload</t>
  </si>
  <si>
    <t>Watt</t>
  </si>
  <si>
    <t>Copper losses</t>
  </si>
  <si>
    <t>Ploss,c</t>
  </si>
  <si>
    <t>Mechanical losses</t>
  </si>
  <si>
    <t>Ploss,m</t>
  </si>
  <si>
    <t>Generator input power</t>
  </si>
  <si>
    <t>P_gen</t>
  </si>
  <si>
    <t>200-300 W</t>
  </si>
  <si>
    <r>
      <rPr>
        <sz val="11"/>
        <rFont val="Calibri"/>
        <family val="2"/>
        <scheme val="minor"/>
      </rPr>
      <t>Ef</t>
    </r>
    <r>
      <rPr>
        <sz val="11"/>
        <color theme="1"/>
        <rFont val="Calibri"/>
        <family val="2"/>
        <scheme val="minor"/>
      </rPr>
      <t>ficiency</t>
    </r>
  </si>
  <si>
    <t>eta</t>
  </si>
  <si>
    <t>60-80%</t>
  </si>
  <si>
    <t>Generator torque</t>
  </si>
  <si>
    <t>Tgen</t>
  </si>
  <si>
    <t>=Taero</t>
  </si>
  <si>
    <r>
      <t xml:space="preserve">Torque difference </t>
    </r>
    <r>
      <rPr>
        <b/>
        <sz val="11"/>
        <color theme="1"/>
        <rFont val="Calibri"/>
        <family val="2"/>
        <scheme val="minor"/>
      </rPr>
      <t>(Should be minimized)</t>
    </r>
  </si>
  <si>
    <t>Tdiff</t>
  </si>
  <si>
    <t>|Tdiff|&lt;0,05 is acceptable</t>
  </si>
  <si>
    <t>Tgen-Taero</t>
  </si>
  <si>
    <t>Optional generator parameters for the enthusiastic generator designer</t>
  </si>
  <si>
    <t>Max output power</t>
  </si>
  <si>
    <t>PL,max</t>
  </si>
  <si>
    <t>Nphase*RL,max*Einduced^2/((Rtot+RL,max)^2+Xgen^2)</t>
  </si>
  <si>
    <t>This is the maximum power output from the generator given that the input power to the generator is sufficient.</t>
  </si>
  <si>
    <t>Load resistance per phase giving max output power</t>
  </si>
  <si>
    <t>RL,max</t>
  </si>
  <si>
    <t>sqrt(Xgen^2 + Rtot^2)</t>
  </si>
  <si>
    <t>This is the load resistance that would give the maximum torque and power output from the generator, given that the input power to the generator is sufficient. In our case, the input power to the generator is limited by the power output from the turbine blade. This is therefore not the load resistance that will give the maximum power output from the generator and turbine blade together.</t>
  </si>
  <si>
    <t>Proportionality factor</t>
  </si>
  <si>
    <t>k</t>
  </si>
  <si>
    <t>T/(rad/s)</t>
  </si>
  <si>
    <t>Tgen/omega</t>
  </si>
  <si>
    <t>Gives an indication about how fast the current/torque increases per unit of rpm/voltage: I = P/E = T*omega/(k*omega^2) = T/omega</t>
  </si>
  <si>
    <t>Data for graphical output</t>
  </si>
  <si>
    <t>Turbine output power</t>
  </si>
  <si>
    <t>Paero</t>
  </si>
  <si>
    <t>Turbine RPM (=C11)</t>
  </si>
  <si>
    <t>Turbine torque (=C12)</t>
  </si>
  <si>
    <t>0.00118 or 0.0014</t>
  </si>
  <si>
    <t>Resistance per meter of copper</t>
  </si>
  <si>
    <t>ohm/m</t>
  </si>
  <si>
    <t>Rcopper</t>
  </si>
  <si>
    <t>Pgen</t>
  </si>
  <si>
    <t>present value</t>
  </si>
  <si>
    <t>Friction losses 0 rotation</t>
  </si>
  <si>
    <t>75W at 1000RPM</t>
  </si>
  <si>
    <t>What-if Data Table analysis with different generator RPMs</t>
  </si>
  <si>
    <t>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</si>
</sst>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
    <numFmt numFmtId="166" formatCode="0.00000"/>
    <numFmt numFmtId="167" formatCode="0.0\ %"/>
  </numFmts>
  <fonts count="13" x14ac:knownFonts="1">
    <font>
      <sz val="11"/>
      <color theme="1"/>
      <name val="Calibri"/>
      <family val="2"/>
      <scheme val="minor"/>
    </font>
    <font>
      <sz val="11"/>
      <color rgb="FFFF0000"/>
      <name val="Calibri"/>
      <family val="2"/>
      <scheme val="minor"/>
    </font>
    <font>
      <sz val="20"/>
      <color rgb="FF00B0F0"/>
      <name val="Calibri"/>
      <family val="2"/>
      <scheme val="minor"/>
    </font>
    <font>
      <sz val="16"/>
      <color rgb="FF00B0F0"/>
      <name val="Calibri"/>
      <family val="2"/>
      <scheme val="minor"/>
    </font>
    <font>
      <sz val="11"/>
      <name val="Calibri"/>
      <family val="2"/>
      <scheme val="minor"/>
    </font>
    <font>
      <sz val="18"/>
      <color rgb="FF00B050"/>
      <name val="Calibri"/>
      <family val="2"/>
      <scheme val="minor"/>
    </font>
    <font>
      <sz val="18"/>
      <color rgb="FF00B0F0"/>
      <name val="Calibri"/>
      <family val="2"/>
      <scheme val="minor"/>
    </font>
    <font>
      <sz val="14"/>
      <color rgb="FF00B050"/>
      <name val="Calibri"/>
      <family val="2"/>
      <scheme val="minor"/>
    </font>
    <font>
      <sz val="16"/>
      <color theme="1"/>
      <name val="Calibri"/>
      <family val="2"/>
      <scheme val="minor"/>
    </font>
    <font>
      <b/>
      <sz val="11"/>
      <color theme="1"/>
      <name val="Calibri"/>
      <family val="2"/>
      <scheme val="minor"/>
    </font>
    <font>
      <b/>
      <sz val="11"/>
      <color rgb="FFFF0000"/>
      <name val="Calibri"/>
      <family val="2"/>
      <scheme val="minor"/>
    </font>
    <font>
      <b/>
      <sz val="16"/>
      <color theme="1"/>
      <name val="Calibri"/>
      <family val="2"/>
      <scheme val="minor"/>
    </font>
    <font>
      <sz val="18"/>
      <color theme="5" tint="-0.249977111117893"/>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rgb="FFFF0000"/>
        <bgColor indexed="64"/>
      </patternFill>
    </fill>
  </fills>
  <borders count="15">
    <border>
      <left/>
      <right/>
      <top/>
      <bottom/>
      <diagonal/>
    </border>
    <border>
      <left/>
      <right/>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97">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left"/>
    </xf>
    <xf numFmtId="0" fontId="8" fillId="0" borderId="0" xfId="0" applyFont="1"/>
    <xf numFmtId="0" fontId="0" fillId="0" borderId="1" xfId="0" applyBorder="1"/>
    <xf numFmtId="0" fontId="0" fillId="0" borderId="1" xfId="0" applyBorder="1" applyAlignment="1">
      <alignment horizontal="left"/>
    </xf>
    <xf numFmtId="0" fontId="5" fillId="3" borderId="0" xfId="0" applyFont="1" applyFill="1"/>
    <xf numFmtId="0" fontId="6" fillId="3" borderId="0" xfId="0" applyFont="1" applyFill="1"/>
    <xf numFmtId="0" fontId="6" fillId="3" borderId="0" xfId="0" applyFont="1" applyFill="1" applyAlignment="1">
      <alignment horizontal="center"/>
    </xf>
    <xf numFmtId="16" fontId="6" fillId="3" borderId="0" xfId="0" quotePrefix="1" applyNumberFormat="1" applyFont="1" applyFill="1" applyAlignment="1">
      <alignment horizontal="center"/>
    </xf>
    <xf numFmtId="16" fontId="6" fillId="3" borderId="0" xfId="0" quotePrefix="1" applyNumberFormat="1" applyFont="1" applyFill="1" applyAlignment="1">
      <alignment horizontal="left"/>
    </xf>
    <xf numFmtId="0" fontId="0" fillId="3" borderId="0" xfId="0" applyFill="1"/>
    <xf numFmtId="0" fontId="0" fillId="3" borderId="0" xfId="0" applyFill="1" applyAlignment="1">
      <alignment horizontal="center"/>
    </xf>
    <xf numFmtId="0" fontId="0" fillId="3" borderId="0" xfId="0" applyFill="1" applyAlignment="1">
      <alignment horizontal="left"/>
    </xf>
    <xf numFmtId="0" fontId="2" fillId="3" borderId="0" xfId="0" applyFont="1" applyFill="1" applyAlignment="1">
      <alignment vertical="center"/>
    </xf>
    <xf numFmtId="0" fontId="4" fillId="3" borderId="0" xfId="0" applyFont="1" applyFill="1"/>
    <xf numFmtId="0" fontId="3" fillId="3" borderId="0" xfId="0" applyFont="1" applyFill="1"/>
    <xf numFmtId="16" fontId="0" fillId="3" borderId="0" xfId="0" quotePrefix="1" applyNumberFormat="1" applyFill="1" applyAlignment="1">
      <alignment horizontal="center"/>
    </xf>
    <xf numFmtId="16" fontId="0" fillId="3" borderId="0" xfId="0" quotePrefix="1" applyNumberFormat="1" applyFill="1" applyAlignment="1">
      <alignment horizontal="left"/>
    </xf>
    <xf numFmtId="0" fontId="1" fillId="3" borderId="0" xfId="0" applyFont="1" applyFill="1" applyAlignment="1">
      <alignment horizontal="center"/>
    </xf>
    <xf numFmtId="0" fontId="4" fillId="3" borderId="0" xfId="0" applyFont="1" applyFill="1" applyAlignment="1">
      <alignment horizontal="center"/>
    </xf>
    <xf numFmtId="0" fontId="1" fillId="3" borderId="0" xfId="0" applyFont="1" applyFill="1" applyAlignment="1">
      <alignment horizontal="left"/>
    </xf>
    <xf numFmtId="0" fontId="1" fillId="3" borderId="0" xfId="0" applyFont="1" applyFill="1"/>
    <xf numFmtId="16" fontId="1" fillId="3" borderId="0" xfId="0" quotePrefix="1" applyNumberFormat="1" applyFont="1" applyFill="1" applyAlignment="1">
      <alignment horizontal="left"/>
    </xf>
    <xf numFmtId="0" fontId="3" fillId="3" borderId="0" xfId="0" applyFont="1" applyFill="1" applyAlignment="1">
      <alignment vertical="center"/>
    </xf>
    <xf numFmtId="0" fontId="0" fillId="3" borderId="0" xfId="0" quotePrefix="1" applyFill="1" applyAlignment="1">
      <alignment horizontal="center"/>
    </xf>
    <xf numFmtId="0" fontId="0" fillId="3" borderId="0" xfId="0" quotePrefix="1" applyFill="1" applyAlignment="1">
      <alignment horizontal="left"/>
    </xf>
    <xf numFmtId="2" fontId="0" fillId="3" borderId="0" xfId="0" quotePrefix="1" applyNumberFormat="1" applyFill="1" applyAlignment="1">
      <alignment horizontal="left"/>
    </xf>
    <xf numFmtId="0" fontId="1" fillId="3" borderId="2" xfId="0" applyFont="1" applyFill="1" applyBorder="1"/>
    <xf numFmtId="0" fontId="0" fillId="3" borderId="2" xfId="0" applyFill="1" applyBorder="1"/>
    <xf numFmtId="0" fontId="0" fillId="3" borderId="2" xfId="0" applyFill="1" applyBorder="1" applyAlignment="1">
      <alignment horizontal="center"/>
    </xf>
    <xf numFmtId="16" fontId="0" fillId="3" borderId="2" xfId="0" quotePrefix="1" applyNumberFormat="1" applyFill="1" applyBorder="1" applyAlignment="1">
      <alignment horizontal="center"/>
    </xf>
    <xf numFmtId="16" fontId="1" fillId="3" borderId="2" xfId="0" quotePrefix="1" applyNumberFormat="1" applyFont="1" applyFill="1" applyBorder="1" applyAlignment="1">
      <alignment horizontal="left"/>
    </xf>
    <xf numFmtId="0" fontId="7" fillId="3" borderId="0" xfId="0" applyFont="1" applyFill="1"/>
    <xf numFmtId="164" fontId="0" fillId="3" borderId="0" xfId="0" applyNumberFormat="1" applyFill="1"/>
    <xf numFmtId="165" fontId="0" fillId="3" borderId="0" xfId="0" applyNumberFormat="1" applyFill="1"/>
    <xf numFmtId="0" fontId="0" fillId="3" borderId="0" xfId="0" quotePrefix="1" applyFill="1"/>
    <xf numFmtId="166" fontId="0" fillId="3" borderId="0" xfId="0" applyNumberFormat="1" applyFill="1"/>
    <xf numFmtId="0" fontId="4" fillId="3" borderId="0" xfId="0" quotePrefix="1" applyFont="1" applyFill="1" applyAlignment="1">
      <alignment horizontal="left"/>
    </xf>
    <xf numFmtId="167" fontId="0" fillId="3" borderId="0" xfId="0" applyNumberFormat="1" applyFill="1"/>
    <xf numFmtId="0" fontId="10" fillId="3" borderId="0" xfId="0" applyFont="1" applyFill="1" applyAlignment="1">
      <alignment horizontal="left"/>
    </xf>
    <xf numFmtId="0" fontId="0" fillId="3" borderId="0" xfId="0" applyFill="1" applyAlignment="1">
      <alignment horizontal="center" vertical="center"/>
    </xf>
    <xf numFmtId="165" fontId="0" fillId="3" borderId="4" xfId="0" applyNumberFormat="1" applyFill="1" applyBorder="1"/>
    <xf numFmtId="11" fontId="0" fillId="3" borderId="0" xfId="0" applyNumberFormat="1" applyFill="1" applyAlignment="1">
      <alignment horizontal="center"/>
    </xf>
    <xf numFmtId="0" fontId="4" fillId="3" borderId="4" xfId="0" applyFont="1" applyFill="1" applyBorder="1"/>
    <xf numFmtId="0" fontId="4" fillId="3" borderId="5" xfId="0" applyFont="1" applyFill="1" applyBorder="1"/>
    <xf numFmtId="0" fontId="0" fillId="3" borderId="6" xfId="0" applyFill="1" applyBorder="1"/>
    <xf numFmtId="0" fontId="4" fillId="0" borderId="4" xfId="0" applyFont="1" applyBorder="1"/>
    <xf numFmtId="0" fontId="4" fillId="0" borderId="5" xfId="0" applyFont="1" applyBorder="1"/>
    <xf numFmtId="2" fontId="4" fillId="4" borderId="3" xfId="0" applyNumberFormat="1" applyFont="1" applyFill="1" applyBorder="1"/>
    <xf numFmtId="2" fontId="4" fillId="2" borderId="6" xfId="0" applyNumberFormat="1" applyFont="1" applyFill="1" applyBorder="1"/>
    <xf numFmtId="164" fontId="0" fillId="5" borderId="4" xfId="0" applyNumberFormat="1" applyFill="1" applyBorder="1"/>
    <xf numFmtId="165" fontId="0" fillId="5" borderId="5" xfId="0" applyNumberFormat="1" applyFill="1" applyBorder="1"/>
    <xf numFmtId="2" fontId="0" fillId="5" borderId="5" xfId="0" applyNumberFormat="1" applyFill="1" applyBorder="1"/>
    <xf numFmtId="165" fontId="4" fillId="5" borderId="5" xfId="0" applyNumberFormat="1" applyFont="1" applyFill="1" applyBorder="1"/>
    <xf numFmtId="165" fontId="0" fillId="5" borderId="4" xfId="0" applyNumberFormat="1" applyFill="1" applyBorder="1"/>
    <xf numFmtId="165" fontId="0" fillId="5" borderId="6" xfId="0" applyNumberFormat="1" applyFill="1" applyBorder="1"/>
    <xf numFmtId="164" fontId="0" fillId="5" borderId="5" xfId="0" applyNumberFormat="1" applyFill="1" applyBorder="1"/>
    <xf numFmtId="167" fontId="9" fillId="6" borderId="6" xfId="0" applyNumberFormat="1" applyFont="1" applyFill="1" applyBorder="1"/>
    <xf numFmtId="0" fontId="9" fillId="0" borderId="1" xfId="0" applyFont="1" applyBorder="1"/>
    <xf numFmtId="0" fontId="9" fillId="0" borderId="1" xfId="0" applyFont="1" applyBorder="1" applyAlignment="1">
      <alignment horizontal="center"/>
    </xf>
    <xf numFmtId="2" fontId="0" fillId="3" borderId="0" xfId="0" quotePrefix="1" applyNumberFormat="1" applyFill="1"/>
    <xf numFmtId="0" fontId="0" fillId="2" borderId="4" xfId="0" applyFill="1" applyBorder="1" applyAlignment="1">
      <alignment vertical="center"/>
    </xf>
    <xf numFmtId="0" fontId="0" fillId="0" borderId="5" xfId="0" applyBorder="1" applyAlignment="1">
      <alignment vertical="center"/>
    </xf>
    <xf numFmtId="0" fontId="0" fillId="3" borderId="5" xfId="0" applyFill="1" applyBorder="1" applyAlignment="1">
      <alignment vertical="center"/>
    </xf>
    <xf numFmtId="0" fontId="0" fillId="4" borderId="6" xfId="0" applyFill="1" applyBorder="1" applyAlignment="1">
      <alignment vertical="center"/>
    </xf>
    <xf numFmtId="0" fontId="0" fillId="5" borderId="4" xfId="0" applyFill="1" applyBorder="1" applyAlignment="1">
      <alignment vertical="center"/>
    </xf>
    <xf numFmtId="0" fontId="9" fillId="6" borderId="6" xfId="0" applyFont="1" applyFill="1" applyBorder="1" applyAlignment="1">
      <alignment vertical="center"/>
    </xf>
    <xf numFmtId="0" fontId="0" fillId="3" borderId="0" xfId="0" quotePrefix="1" applyFill="1" applyAlignment="1">
      <alignment horizontal="center" vertical="center"/>
    </xf>
    <xf numFmtId="0" fontId="0" fillId="3" borderId="5" xfId="0" applyFill="1" applyBorder="1"/>
    <xf numFmtId="164" fontId="9" fillId="6" borderId="3" xfId="0" applyNumberFormat="1" applyFont="1" applyFill="1" applyBorder="1"/>
    <xf numFmtId="2" fontId="0" fillId="3" borderId="5" xfId="0" applyNumberFormat="1" applyFill="1" applyBorder="1"/>
    <xf numFmtId="166" fontId="0" fillId="3" borderId="6" xfId="0" applyNumberFormat="1" applyFill="1" applyBorder="1"/>
    <xf numFmtId="11" fontId="0" fillId="5" borderId="5" xfId="0" applyNumberFormat="1" applyFill="1" applyBorder="1"/>
    <xf numFmtId="11" fontId="0" fillId="3" borderId="0" xfId="0" quotePrefix="1" applyNumberFormat="1" applyFill="1" applyAlignment="1">
      <alignment horizontal="center"/>
    </xf>
    <xf numFmtId="164" fontId="0" fillId="5" borderId="6" xfId="0" applyNumberFormat="1" applyFill="1" applyBorder="1"/>
    <xf numFmtId="164" fontId="0" fillId="3" borderId="5" xfId="0" applyNumberFormat="1" applyFill="1" applyBorder="1"/>
    <xf numFmtId="0" fontId="4" fillId="3" borderId="0" xfId="0" quotePrefix="1" applyFont="1" applyFill="1"/>
    <xf numFmtId="165" fontId="4" fillId="0" borderId="5" xfId="0" applyNumberFormat="1" applyFont="1" applyBorder="1"/>
    <xf numFmtId="0" fontId="4" fillId="0" borderId="6" xfId="0" applyFont="1" applyBorder="1"/>
    <xf numFmtId="0" fontId="0" fillId="0" borderId="6" xfId="0" applyBorder="1"/>
    <xf numFmtId="1" fontId="4" fillId="2" borderId="4" xfId="0" applyNumberFormat="1" applyFont="1" applyFill="1" applyBorder="1"/>
    <xf numFmtId="2" fontId="0" fillId="3" borderId="0" xfId="0" applyNumberFormat="1" applyFill="1"/>
    <xf numFmtId="1" fontId="0" fillId="3" borderId="0" xfId="0" applyNumberFormat="1" applyFill="1"/>
    <xf numFmtId="0" fontId="12" fillId="3" borderId="0" xfId="0" applyFont="1" applyFill="1"/>
    <xf numFmtId="165" fontId="0" fillId="3" borderId="14" xfId="0" applyNumberFormat="1" applyFill="1" applyBorder="1"/>
    <xf numFmtId="0" fontId="0" fillId="3" borderId="11" xfId="0" applyFill="1" applyBorder="1"/>
    <xf numFmtId="0" fontId="0" fillId="3" borderId="12"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0" fontId="0" fillId="3" borderId="4" xfId="0" applyFill="1" applyBorder="1"/>
    <xf numFmtId="1" fontId="0" fillId="3" borderId="6" xfId="0" applyNumberFormat="1" applyFill="1" applyBorder="1"/>
    <xf numFmtId="1" fontId="0" fillId="3" borderId="13" xfId="0" applyNumberFormat="1" applyFill="1" applyBorder="1"/>
    <xf numFmtId="0" fontId="1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nb-NO" b="1"/>
              <a:t>Operating point graph: </a:t>
            </a:r>
          </a:p>
          <a:p>
            <a:pPr>
              <a:defRPr b="1"/>
            </a:pPr>
            <a:r>
              <a:rPr lang="nb-NO" b="0"/>
              <a:t>the</a:t>
            </a:r>
            <a:r>
              <a:rPr lang="nb-NO" b="0" baseline="0"/>
              <a:t> generator power graph should intercept the turbine operating point</a:t>
            </a:r>
            <a:endParaRPr lang="nb-NO" b="0"/>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NO"/>
        </a:p>
      </c:txPr>
    </c:title>
    <c:autoTitleDeleted val="0"/>
    <c:plotArea>
      <c:layout/>
      <c:scatterChart>
        <c:scatterStyle val="lineMarker"/>
        <c:varyColors val="0"/>
        <c:ser>
          <c:idx val="0"/>
          <c:order val="0"/>
          <c:tx>
            <c:v>Turbine operating point</c:v>
          </c:tx>
          <c:spPr>
            <a:ln w="25400" cap="rnd">
              <a:noFill/>
              <a:round/>
            </a:ln>
            <a:effectLst/>
          </c:spPr>
          <c:marker>
            <c:symbol val="circle"/>
            <c:size val="5"/>
            <c:spPr>
              <a:solidFill>
                <a:schemeClr val="accent1"/>
              </a:solidFill>
              <a:ln w="9525">
                <a:solidFill>
                  <a:schemeClr val="accent1"/>
                </a:solidFill>
              </a:ln>
              <a:effectLst/>
            </c:spPr>
          </c:marker>
          <c:xVal>
            <c:numRef>
              <c:f>DESIGN!$C$94</c:f>
              <c:numCache>
                <c:formatCode>0</c:formatCode>
                <c:ptCount val="1"/>
                <c:pt idx="0">
                  <c:v>1579</c:v>
                </c:pt>
              </c:numCache>
            </c:numRef>
          </c:xVal>
          <c:yVal>
            <c:numRef>
              <c:f>DESIGN!$C$93</c:f>
              <c:numCache>
                <c:formatCode>General</c:formatCode>
                <c:ptCount val="1"/>
                <c:pt idx="0">
                  <c:v>301.43759534777769</c:v>
                </c:pt>
              </c:numCache>
            </c:numRef>
          </c:yVal>
          <c:smooth val="0"/>
          <c:extLst>
            <c:ext xmlns:c16="http://schemas.microsoft.com/office/drawing/2014/chart" uri="{C3380CC4-5D6E-409C-BE32-E72D297353CC}">
              <c16:uniqueId val="{00000000-437C-4E0F-ADFE-FB58D85032AA}"/>
            </c:ext>
          </c:extLst>
        </c:ser>
        <c:ser>
          <c:idx val="1"/>
          <c:order val="1"/>
          <c:tx>
            <c:v>Generator power</c:v>
          </c:tx>
          <c:spPr>
            <a:ln w="25400" cap="rnd">
              <a:noFill/>
              <a:round/>
            </a:ln>
            <a:effectLst/>
          </c:spPr>
          <c:marker>
            <c:symbol val="none"/>
          </c:marker>
          <c:trendline>
            <c:spPr>
              <a:ln w="19050" cap="rnd">
                <a:solidFill>
                  <a:schemeClr val="accent2"/>
                </a:solidFill>
                <a:prstDash val="solid"/>
              </a:ln>
              <a:effectLst/>
            </c:spPr>
            <c:trendlineType val="poly"/>
            <c:order val="2"/>
            <c:dispRSqr val="0"/>
            <c:dispEq val="0"/>
          </c:trendline>
          <c:xVal>
            <c:numRef>
              <c:f>DESIGN!$B$98:$B$110</c:f>
              <c:numCache>
                <c:formatCode>General</c:formatCode>
                <c:ptCount val="13"/>
                <c:pt idx="0">
                  <c:v>0</c:v>
                </c:pt>
                <c:pt idx="1">
                  <c:v>200</c:v>
                </c:pt>
                <c:pt idx="2">
                  <c:v>400</c:v>
                </c:pt>
                <c:pt idx="3">
                  <c:v>600</c:v>
                </c:pt>
                <c:pt idx="4">
                  <c:v>800</c:v>
                </c:pt>
                <c:pt idx="5">
                  <c:v>1000</c:v>
                </c:pt>
                <c:pt idx="6">
                  <c:v>1200</c:v>
                </c:pt>
                <c:pt idx="7">
                  <c:v>1400</c:v>
                </c:pt>
                <c:pt idx="8">
                  <c:v>1600</c:v>
                </c:pt>
                <c:pt idx="9">
                  <c:v>1800</c:v>
                </c:pt>
                <c:pt idx="10">
                  <c:v>2000</c:v>
                </c:pt>
                <c:pt idx="11">
                  <c:v>2200</c:v>
                </c:pt>
                <c:pt idx="12">
                  <c:v>2400</c:v>
                </c:pt>
              </c:numCache>
            </c:numRef>
          </c:xVal>
          <c:yVal>
            <c:numRef>
              <c:f>DESIGN!$C$98:$C$110</c:f>
              <c:numCache>
                <c:formatCode>General</c:formatCode>
                <c:ptCount val="13"/>
                <c:pt idx="0">
                  <c:v>5</c:v>
                </c:pt>
                <c:pt idx="1">
                  <c:v>22.889242788734624</c:v>
                </c:pt>
                <c:pt idx="2">
                  <c:v>46.550482282864735</c:v>
                </c:pt>
                <c:pt idx="3">
                  <c:v>75.964288265062493</c:v>
                </c:pt>
                <c:pt idx="4">
                  <c:v>111.09839798879378</c:v>
                </c:pt>
                <c:pt idx="5">
                  <c:v>151.90789627600935</c:v>
                </c:pt>
                <c:pt idx="6">
                  <c:v>198.3354650250912</c:v>
                </c:pt>
                <c:pt idx="7">
                  <c:v>250.31169955294243</c:v>
                </c:pt>
                <c:pt idx="8">
                  <c:v>307.7554885329298</c:v>
                </c:pt>
                <c:pt idx="9">
                  <c:v>370.57445368112303</c:v>
                </c:pt>
                <c:pt idx="10">
                  <c:v>438.66544479602601</c:v>
                </c:pt>
                <c:pt idx="11">
                  <c:v>511.91508527943597</c:v>
                </c:pt>
                <c:pt idx="12">
                  <c:v>590.20036286422874</c:v>
                </c:pt>
              </c:numCache>
            </c:numRef>
          </c:yVal>
          <c:smooth val="0"/>
          <c:extLst>
            <c:ext xmlns:c16="http://schemas.microsoft.com/office/drawing/2014/chart" uri="{C3380CC4-5D6E-409C-BE32-E72D297353CC}">
              <c16:uniqueId val="{00000002-437C-4E0F-ADFE-FB58D85032AA}"/>
            </c:ext>
          </c:extLst>
        </c:ser>
        <c:dLbls>
          <c:showLegendKey val="0"/>
          <c:showVal val="0"/>
          <c:showCatName val="0"/>
          <c:showSerName val="0"/>
          <c:showPercent val="0"/>
          <c:showBubbleSize val="0"/>
        </c:dLbls>
        <c:axId val="738324728"/>
        <c:axId val="738333728"/>
      </c:scatterChart>
      <c:valAx>
        <c:axId val="738324728"/>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Shaft rotational speed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O"/>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O"/>
          </a:p>
        </c:txPr>
        <c:crossAx val="738333728"/>
        <c:crosses val="autoZero"/>
        <c:crossBetween val="midCat"/>
      </c:valAx>
      <c:valAx>
        <c:axId val="73833372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Power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O"/>
          </a:p>
        </c:txPr>
        <c:crossAx val="73832472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885265</xdr:colOff>
      <xdr:row>18</xdr:row>
      <xdr:rowOff>33617</xdr:rowOff>
    </xdr:from>
    <xdr:to>
      <xdr:col>9</xdr:col>
      <xdr:colOff>232523</xdr:colOff>
      <xdr:row>42</xdr:row>
      <xdr:rowOff>253253</xdr:rowOff>
    </xdr:to>
    <xdr:graphicFrame macro="">
      <xdr:nvGraphicFramePr>
        <xdr:cNvPr id="4" name="Chart 3">
          <a:extLst>
            <a:ext uri="{FF2B5EF4-FFF2-40B4-BE49-F238E27FC236}">
              <a16:creationId xmlns:a16="http://schemas.microsoft.com/office/drawing/2014/main" id="{9DBB7739-B4C7-48AB-AD25-6E6093AC3C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O111"/>
  <sheetViews>
    <sheetView tabSelected="1" topLeftCell="G1" zoomScaleNormal="100" workbookViewId="0">
      <pane ySplit="8" topLeftCell="A19" activePane="bottomLeft" state="frozen"/>
      <selection pane="bottomLeft" activeCell="L19" sqref="L19"/>
    </sheetView>
  </sheetViews>
  <sheetFormatPr defaultColWidth="8.85546875" defaultRowHeight="15" x14ac:dyDescent="0.25"/>
  <cols>
    <col min="1" max="1" width="60.7109375" customWidth="1"/>
    <col min="2" max="2" width="16" bestFit="1" customWidth="1"/>
    <col min="3" max="3" width="14.28515625" customWidth="1"/>
    <col min="4" max="4" width="9.85546875" style="2" bestFit="1" customWidth="1"/>
    <col min="5" max="5" width="24" style="2" bestFit="1" customWidth="1"/>
    <col min="6" max="6" width="21.42578125" style="2" customWidth="1"/>
    <col min="7" max="7" width="74.42578125" style="3" bestFit="1" customWidth="1"/>
    <col min="8" max="8" width="106" bestFit="1" customWidth="1"/>
    <col min="10" max="10" width="10" customWidth="1"/>
    <col min="12" max="13" width="9.42578125" customWidth="1"/>
  </cols>
  <sheetData>
    <row r="1" spans="1:14" s="4" customFormat="1" ht="15" customHeight="1" x14ac:dyDescent="0.35">
      <c r="A1" s="96" t="s">
        <v>0</v>
      </c>
      <c r="B1" s="96"/>
      <c r="C1" s="96"/>
      <c r="D1" s="96"/>
      <c r="E1" s="96"/>
      <c r="F1" s="96"/>
      <c r="G1" s="63" t="s">
        <v>1</v>
      </c>
    </row>
    <row r="2" spans="1:14" x14ac:dyDescent="0.25">
      <c r="A2" s="96"/>
      <c r="B2" s="96"/>
      <c r="C2" s="96"/>
      <c r="D2" s="96"/>
      <c r="E2" s="96"/>
      <c r="F2" s="96"/>
      <c r="G2" s="64" t="s">
        <v>2</v>
      </c>
    </row>
    <row r="3" spans="1:14" x14ac:dyDescent="0.25">
      <c r="A3" s="96"/>
      <c r="B3" s="96"/>
      <c r="C3" s="96"/>
      <c r="D3" s="96"/>
      <c r="E3" s="96"/>
      <c r="F3" s="96"/>
      <c r="G3" s="65" t="s">
        <v>3</v>
      </c>
    </row>
    <row r="4" spans="1:14" x14ac:dyDescent="0.25">
      <c r="A4" s="1"/>
      <c r="G4" s="66" t="s">
        <v>4</v>
      </c>
    </row>
    <row r="5" spans="1:14" x14ac:dyDescent="0.25">
      <c r="A5" s="1"/>
      <c r="G5" s="67" t="s">
        <v>5</v>
      </c>
    </row>
    <row r="6" spans="1:14" x14ac:dyDescent="0.25">
      <c r="A6" s="1"/>
      <c r="G6" s="68" t="s">
        <v>6</v>
      </c>
    </row>
    <row r="7" spans="1:14" x14ac:dyDescent="0.25">
      <c r="A7" s="1"/>
    </row>
    <row r="8" spans="1:14" x14ac:dyDescent="0.25">
      <c r="A8" s="5"/>
      <c r="B8" s="60" t="s">
        <v>7</v>
      </c>
      <c r="C8" s="60" t="s">
        <v>8</v>
      </c>
      <c r="D8" s="61" t="s">
        <v>9</v>
      </c>
      <c r="E8" s="61" t="s">
        <v>10</v>
      </c>
      <c r="F8" s="61" t="s">
        <v>11</v>
      </c>
      <c r="G8" s="6"/>
      <c r="H8" s="5"/>
    </row>
    <row r="9" spans="1:14" s="12" customFormat="1" ht="26.25" x14ac:dyDescent="0.25">
      <c r="A9" s="15" t="s">
        <v>12</v>
      </c>
      <c r="C9" s="16"/>
      <c r="D9" s="13"/>
      <c r="E9" s="13"/>
      <c r="F9" s="13"/>
      <c r="G9" s="14"/>
    </row>
    <row r="10" spans="1:14" s="12" customFormat="1" ht="15" customHeight="1" x14ac:dyDescent="0.35">
      <c r="A10" s="17" t="s">
        <v>1</v>
      </c>
      <c r="C10" s="16"/>
      <c r="D10" s="13"/>
      <c r="E10" s="18"/>
      <c r="F10" s="18"/>
      <c r="G10" s="19"/>
    </row>
    <row r="11" spans="1:14" s="12" customFormat="1" x14ac:dyDescent="0.25">
      <c r="A11" s="16" t="s">
        <v>13</v>
      </c>
      <c r="B11" s="16" t="s">
        <v>14</v>
      </c>
      <c r="C11" s="82">
        <v>1579</v>
      </c>
      <c r="D11" s="21" t="s">
        <v>14</v>
      </c>
      <c r="E11" s="21" t="s">
        <v>15</v>
      </c>
      <c r="F11" s="21" t="s">
        <v>16</v>
      </c>
      <c r="G11" s="22"/>
      <c r="H11" s="23"/>
    </row>
    <row r="12" spans="1:14" s="12" customFormat="1" x14ac:dyDescent="0.25">
      <c r="A12" s="16" t="s">
        <v>17</v>
      </c>
      <c r="B12" s="16" t="s">
        <v>18</v>
      </c>
      <c r="C12" s="51">
        <v>1.823</v>
      </c>
      <c r="D12" s="21" t="s">
        <v>19</v>
      </c>
      <c r="E12" s="21" t="s">
        <v>20</v>
      </c>
      <c r="F12" s="21" t="s">
        <v>16</v>
      </c>
      <c r="G12" s="22"/>
      <c r="H12" s="23"/>
    </row>
    <row r="13" spans="1:14" s="12" customFormat="1" x14ac:dyDescent="0.25">
      <c r="C13" s="16"/>
      <c r="D13" s="13"/>
      <c r="E13" s="13"/>
      <c r="F13" s="13"/>
      <c r="G13" s="14"/>
    </row>
    <row r="14" spans="1:14" s="12" customFormat="1" ht="21" x14ac:dyDescent="0.25">
      <c r="A14" s="25" t="s">
        <v>21</v>
      </c>
      <c r="C14" s="16"/>
      <c r="D14" s="13"/>
      <c r="E14" s="26"/>
      <c r="F14" s="26"/>
      <c r="G14" s="14"/>
      <c r="N14" s="83"/>
    </row>
    <row r="15" spans="1:14" s="12" customFormat="1" x14ac:dyDescent="0.25">
      <c r="A15" s="16" t="s">
        <v>22</v>
      </c>
      <c r="B15" s="12" t="s">
        <v>23</v>
      </c>
      <c r="C15" s="45">
        <v>4.4999999999999998E-2</v>
      </c>
      <c r="D15" s="13" t="s">
        <v>24</v>
      </c>
      <c r="E15" s="26">
        <v>4.4999999999999998E-2</v>
      </c>
      <c r="F15" s="27" t="s">
        <v>25</v>
      </c>
      <c r="G15" s="27"/>
      <c r="N15" s="84"/>
    </row>
    <row r="16" spans="1:14" s="12" customFormat="1" x14ac:dyDescent="0.25">
      <c r="A16" s="16" t="s">
        <v>26</v>
      </c>
      <c r="B16" s="12" t="s">
        <v>27</v>
      </c>
      <c r="C16" s="80">
        <v>1.4999999999999999E-2</v>
      </c>
      <c r="D16" s="13" t="s">
        <v>24</v>
      </c>
      <c r="E16" s="26" t="s">
        <v>28</v>
      </c>
      <c r="F16" s="27" t="s">
        <v>29</v>
      </c>
      <c r="G16" s="27"/>
      <c r="N16" s="84"/>
    </row>
    <row r="17" spans="1:14" s="12" customFormat="1" x14ac:dyDescent="0.25">
      <c r="A17" s="16"/>
      <c r="C17" s="16"/>
      <c r="D17" s="13"/>
    </row>
    <row r="18" spans="1:14" s="12" customFormat="1" ht="21" x14ac:dyDescent="0.25">
      <c r="A18" s="25" t="s">
        <v>30</v>
      </c>
      <c r="C18" s="16"/>
      <c r="D18" s="13"/>
      <c r="E18" s="13"/>
      <c r="G18" s="14"/>
    </row>
    <row r="19" spans="1:14" s="12" customFormat="1" x14ac:dyDescent="0.25">
      <c r="A19" s="16" t="s">
        <v>31</v>
      </c>
      <c r="B19" s="12" t="s">
        <v>32</v>
      </c>
      <c r="C19" s="48">
        <v>2</v>
      </c>
      <c r="D19" s="13" t="s">
        <v>33</v>
      </c>
      <c r="E19" s="13" t="s">
        <v>34</v>
      </c>
      <c r="F19" s="14" t="s">
        <v>35</v>
      </c>
      <c r="G19" s="14"/>
    </row>
    <row r="20" spans="1:14" s="12" customFormat="1" x14ac:dyDescent="0.25">
      <c r="A20" s="16" t="s">
        <v>36</v>
      </c>
      <c r="B20" s="12" t="s">
        <v>37</v>
      </c>
      <c r="C20" s="80">
        <v>0.2</v>
      </c>
      <c r="D20" s="13" t="s">
        <v>38</v>
      </c>
      <c r="E20" s="13" t="s">
        <v>39</v>
      </c>
      <c r="F20" s="14" t="s">
        <v>40</v>
      </c>
    </row>
    <row r="21" spans="1:14" s="12" customFormat="1" x14ac:dyDescent="0.25">
      <c r="A21" s="16"/>
      <c r="C21" s="16" t="s">
        <v>207</v>
      </c>
      <c r="D21" s="13"/>
      <c r="F21" s="14"/>
      <c r="G21" s="14"/>
      <c r="M21" s="84"/>
    </row>
    <row r="22" spans="1:14" s="12" customFormat="1" ht="21" x14ac:dyDescent="0.25">
      <c r="A22" s="25" t="s">
        <v>41</v>
      </c>
      <c r="C22" s="16"/>
      <c r="D22" s="13"/>
      <c r="E22" s="13"/>
      <c r="F22" s="14"/>
      <c r="G22" s="14"/>
      <c r="N22" s="36"/>
    </row>
    <row r="23" spans="1:14" s="12" customFormat="1" x14ac:dyDescent="0.25">
      <c r="A23" s="16" t="s">
        <v>42</v>
      </c>
      <c r="B23" s="12" t="s">
        <v>43</v>
      </c>
      <c r="C23" s="48">
        <v>1</v>
      </c>
      <c r="D23" s="13" t="s">
        <v>33</v>
      </c>
      <c r="E23" s="13" t="s">
        <v>44</v>
      </c>
      <c r="F23" s="14" t="s">
        <v>45</v>
      </c>
      <c r="G23" s="14"/>
      <c r="M23" s="84"/>
      <c r="N23" s="36"/>
    </row>
    <row r="24" spans="1:14" s="12" customFormat="1" x14ac:dyDescent="0.25">
      <c r="A24" s="16" t="s">
        <v>46</v>
      </c>
      <c r="B24" s="12" t="s">
        <v>47</v>
      </c>
      <c r="C24" s="49">
        <v>1.1800000000000001E-3</v>
      </c>
      <c r="D24" s="13" t="s">
        <v>24</v>
      </c>
      <c r="E24" s="26" t="s">
        <v>198</v>
      </c>
      <c r="F24" s="14" t="s">
        <v>48</v>
      </c>
      <c r="G24" s="14"/>
      <c r="M24" s="84"/>
      <c r="N24" s="36"/>
    </row>
    <row r="25" spans="1:14" s="12" customFormat="1" x14ac:dyDescent="0.25">
      <c r="A25" s="16" t="s">
        <v>49</v>
      </c>
      <c r="B25" s="12" t="s">
        <v>50</v>
      </c>
      <c r="C25" s="49">
        <v>60</v>
      </c>
      <c r="D25" s="13" t="s">
        <v>33</v>
      </c>
      <c r="E25" s="13" t="s">
        <v>51</v>
      </c>
      <c r="F25" s="14" t="s">
        <v>52</v>
      </c>
      <c r="G25" s="14"/>
      <c r="H25" s="14"/>
      <c r="M25" s="84"/>
      <c r="N25" s="36"/>
    </row>
    <row r="26" spans="1:14" s="12" customFormat="1" x14ac:dyDescent="0.25">
      <c r="A26" s="16" t="s">
        <v>53</v>
      </c>
      <c r="B26" s="12" t="s">
        <v>54</v>
      </c>
      <c r="C26" s="49">
        <v>0.12</v>
      </c>
      <c r="D26" s="13" t="s">
        <v>24</v>
      </c>
      <c r="E26" s="26">
        <v>0.12</v>
      </c>
      <c r="F26" s="27" t="s">
        <v>55</v>
      </c>
      <c r="G26" s="27"/>
      <c r="H26" s="14"/>
      <c r="M26" s="84"/>
      <c r="N26" s="36"/>
    </row>
    <row r="27" spans="1:14" s="12" customFormat="1" x14ac:dyDescent="0.25">
      <c r="A27" s="16" t="s">
        <v>56</v>
      </c>
      <c r="B27" s="12" t="s">
        <v>57</v>
      </c>
      <c r="C27" s="79">
        <v>1.1000000000000001</v>
      </c>
      <c r="D27" s="13"/>
      <c r="E27" s="26">
        <v>1.1000000000000001</v>
      </c>
      <c r="F27" s="27" t="s">
        <v>58</v>
      </c>
      <c r="G27" s="27"/>
      <c r="M27" s="84"/>
      <c r="N27" s="36"/>
    </row>
    <row r="28" spans="1:14" s="12" customFormat="1" x14ac:dyDescent="0.25">
      <c r="A28" s="16" t="s">
        <v>59</v>
      </c>
      <c r="B28" s="12" t="s">
        <v>60</v>
      </c>
      <c r="C28" s="49">
        <v>0.9</v>
      </c>
      <c r="D28" s="13" t="s">
        <v>33</v>
      </c>
      <c r="E28" s="26" t="s">
        <v>61</v>
      </c>
      <c r="F28" s="27" t="s">
        <v>62</v>
      </c>
      <c r="G28" s="27"/>
      <c r="H28" s="14"/>
      <c r="M28" s="84"/>
      <c r="N28" s="36"/>
    </row>
    <row r="29" spans="1:14" s="12" customFormat="1" x14ac:dyDescent="0.25">
      <c r="A29" s="16" t="s">
        <v>63</v>
      </c>
      <c r="B29" s="12" t="s">
        <v>64</v>
      </c>
      <c r="C29" s="49">
        <v>4</v>
      </c>
      <c r="D29" s="13" t="s">
        <v>33</v>
      </c>
      <c r="E29" s="18" t="s">
        <v>65</v>
      </c>
      <c r="F29" s="14" t="s">
        <v>66</v>
      </c>
      <c r="G29" s="14"/>
      <c r="H29" s="41"/>
      <c r="M29" s="84"/>
      <c r="N29" s="36"/>
    </row>
    <row r="30" spans="1:14" s="12" customFormat="1" x14ac:dyDescent="0.25">
      <c r="A30" s="12" t="s">
        <v>67</v>
      </c>
      <c r="B30" s="12" t="s">
        <v>68</v>
      </c>
      <c r="C30" s="81">
        <v>30</v>
      </c>
      <c r="D30" s="42" t="s">
        <v>69</v>
      </c>
      <c r="E30" s="13" t="s">
        <v>70</v>
      </c>
      <c r="F30" s="12" t="s">
        <v>71</v>
      </c>
      <c r="H30" s="14"/>
      <c r="M30" s="84"/>
      <c r="N30" s="36"/>
    </row>
    <row r="31" spans="1:14" s="12" customFormat="1" x14ac:dyDescent="0.25">
      <c r="F31" s="14"/>
      <c r="G31" s="14"/>
      <c r="H31" s="14"/>
      <c r="M31" s="84"/>
      <c r="N31" s="36"/>
    </row>
    <row r="32" spans="1:14" s="12" customFormat="1" ht="21" x14ac:dyDescent="0.35">
      <c r="A32" s="17" t="s">
        <v>72</v>
      </c>
      <c r="C32" s="16"/>
      <c r="D32" s="13"/>
      <c r="E32" s="13"/>
      <c r="F32" s="14"/>
      <c r="G32" s="14"/>
      <c r="H32" s="27"/>
      <c r="M32" s="84"/>
      <c r="N32" s="36"/>
    </row>
    <row r="33" spans="1:15" s="12" customFormat="1" x14ac:dyDescent="0.25">
      <c r="A33" s="16" t="s">
        <v>73</v>
      </c>
      <c r="B33" s="12" t="s">
        <v>74</v>
      </c>
      <c r="C33" s="45">
        <v>28</v>
      </c>
      <c r="D33" s="13" t="s">
        <v>33</v>
      </c>
      <c r="E33" s="28" t="s">
        <v>75</v>
      </c>
      <c r="F33" s="19" t="s">
        <v>76</v>
      </c>
      <c r="G33" s="19"/>
      <c r="H33" s="22"/>
      <c r="M33" s="84"/>
      <c r="N33" s="36"/>
    </row>
    <row r="34" spans="1:15" s="12" customFormat="1" x14ac:dyDescent="0.25">
      <c r="A34" s="16" t="s">
        <v>77</v>
      </c>
      <c r="B34" s="12" t="s">
        <v>78</v>
      </c>
      <c r="C34" s="46">
        <v>8.0000000000000004E-4</v>
      </c>
      <c r="D34" s="13" t="s">
        <v>79</v>
      </c>
      <c r="F34" s="28" t="s">
        <v>80</v>
      </c>
      <c r="G34" s="14"/>
      <c r="H34" s="22"/>
      <c r="M34" s="84"/>
      <c r="N34" s="36"/>
    </row>
    <row r="35" spans="1:15" s="12" customFormat="1" x14ac:dyDescent="0.25">
      <c r="A35" s="16" t="s">
        <v>81</v>
      </c>
      <c r="B35" s="12" t="s">
        <v>78</v>
      </c>
      <c r="C35" s="46">
        <v>8.0000000000000004E-4</v>
      </c>
      <c r="D35" s="13" t="s">
        <v>79</v>
      </c>
      <c r="F35" s="28" t="s">
        <v>82</v>
      </c>
      <c r="G35" s="14"/>
      <c r="H35" s="14"/>
      <c r="M35" s="84"/>
      <c r="N35" s="36"/>
    </row>
    <row r="36" spans="1:15" s="12" customFormat="1" x14ac:dyDescent="0.25">
      <c r="A36" s="16" t="s">
        <v>83</v>
      </c>
      <c r="B36" s="12" t="s">
        <v>84</v>
      </c>
      <c r="C36" s="46">
        <v>1000</v>
      </c>
      <c r="D36" s="13" t="s">
        <v>14</v>
      </c>
      <c r="E36" s="18"/>
      <c r="F36" s="19" t="s">
        <v>85</v>
      </c>
      <c r="G36" s="19"/>
      <c r="H36" s="14"/>
    </row>
    <row r="37" spans="1:15" s="12" customFormat="1" x14ac:dyDescent="0.25">
      <c r="A37" s="16" t="s">
        <v>86</v>
      </c>
      <c r="B37" s="12" t="s">
        <v>87</v>
      </c>
      <c r="C37" s="46">
        <v>75</v>
      </c>
      <c r="D37" s="13" t="s">
        <v>88</v>
      </c>
      <c r="E37" s="18" t="s">
        <v>205</v>
      </c>
      <c r="F37" s="19" t="s">
        <v>89</v>
      </c>
      <c r="G37" s="19"/>
      <c r="H37" s="14"/>
    </row>
    <row r="38" spans="1:15" s="12" customFormat="1" x14ac:dyDescent="0.25">
      <c r="A38" s="12" t="s">
        <v>90</v>
      </c>
      <c r="B38" s="12" t="s">
        <v>91</v>
      </c>
      <c r="C38" s="70">
        <v>5</v>
      </c>
      <c r="D38" s="42" t="s">
        <v>88</v>
      </c>
      <c r="E38" s="13"/>
      <c r="F38" s="12" t="s">
        <v>204</v>
      </c>
      <c r="H38" s="14"/>
    </row>
    <row r="39" spans="1:15" s="12" customFormat="1" x14ac:dyDescent="0.25">
      <c r="A39" s="12" t="s">
        <v>92</v>
      </c>
      <c r="B39" s="12" t="s">
        <v>93</v>
      </c>
      <c r="C39" s="70">
        <v>20</v>
      </c>
      <c r="D39" s="42" t="s">
        <v>69</v>
      </c>
      <c r="E39" s="13"/>
      <c r="F39" s="12" t="s">
        <v>94</v>
      </c>
      <c r="H39" s="14"/>
    </row>
    <row r="40" spans="1:15" s="12" customFormat="1" x14ac:dyDescent="0.25">
      <c r="A40" s="12" t="s">
        <v>95</v>
      </c>
      <c r="B40" s="12" t="s">
        <v>96</v>
      </c>
      <c r="C40" s="70">
        <f>3.9*10^(-3)</f>
        <v>3.8999999999999998E-3</v>
      </c>
      <c r="D40" s="69" t="s">
        <v>97</v>
      </c>
      <c r="E40" s="13"/>
      <c r="F40" s="12" t="s">
        <v>98</v>
      </c>
      <c r="H40" s="14"/>
    </row>
    <row r="41" spans="1:15" s="12" customFormat="1" x14ac:dyDescent="0.25">
      <c r="A41" s="12" t="s">
        <v>99</v>
      </c>
      <c r="B41" s="12" t="s">
        <v>100</v>
      </c>
      <c r="C41" s="47">
        <f>1.68*10^(-8)</f>
        <v>1.6799999999999998E-8</v>
      </c>
      <c r="D41" s="69" t="s">
        <v>101</v>
      </c>
      <c r="E41" s="13"/>
      <c r="F41" s="12" t="s">
        <v>102</v>
      </c>
      <c r="H41" s="14"/>
    </row>
    <row r="42" spans="1:15" s="12" customFormat="1" x14ac:dyDescent="0.25">
      <c r="A42" s="16"/>
      <c r="B42" s="16"/>
      <c r="D42" s="20"/>
      <c r="E42" s="21"/>
      <c r="F42" s="20"/>
      <c r="G42" s="22"/>
      <c r="H42" s="23"/>
    </row>
    <row r="43" spans="1:15" s="12" customFormat="1" ht="21" x14ac:dyDescent="0.35">
      <c r="A43" s="17" t="s">
        <v>103</v>
      </c>
      <c r="B43" s="16"/>
      <c r="C43" s="16"/>
      <c r="D43" s="20"/>
      <c r="E43" s="21"/>
      <c r="F43" s="20"/>
      <c r="G43" s="22"/>
      <c r="H43" s="23"/>
    </row>
    <row r="44" spans="1:15" s="12" customFormat="1" x14ac:dyDescent="0.25">
      <c r="A44" s="16" t="s">
        <v>104</v>
      </c>
      <c r="B44" s="16" t="s">
        <v>105</v>
      </c>
      <c r="C44" s="50">
        <v>20.61</v>
      </c>
      <c r="D44" s="13" t="s">
        <v>106</v>
      </c>
      <c r="E44" s="18" t="s">
        <v>107</v>
      </c>
      <c r="F44" s="12" t="s">
        <v>108</v>
      </c>
      <c r="G44" s="24"/>
    </row>
    <row r="45" spans="1:15" s="30" customFormat="1" ht="15.75" thickBot="1" x14ac:dyDescent="0.3">
      <c r="A45" s="29"/>
      <c r="C45" s="29"/>
      <c r="D45" s="31"/>
      <c r="E45" s="32"/>
      <c r="F45" s="32"/>
      <c r="G45" s="33"/>
    </row>
    <row r="46" spans="1:15" s="8" customFormat="1" ht="23.25" x14ac:dyDescent="0.35">
      <c r="A46" s="7" t="s">
        <v>109</v>
      </c>
      <c r="D46" s="9"/>
      <c r="E46" s="10"/>
      <c r="F46" s="10"/>
      <c r="G46" s="11"/>
    </row>
    <row r="47" spans="1:15" s="12" customFormat="1" ht="18.75" x14ac:dyDescent="0.3">
      <c r="A47" s="34" t="s">
        <v>110</v>
      </c>
      <c r="D47" s="13"/>
    </row>
    <row r="48" spans="1:15" s="12" customFormat="1" x14ac:dyDescent="0.25">
      <c r="A48" s="16" t="s">
        <v>111</v>
      </c>
      <c r="B48" s="12" t="s">
        <v>112</v>
      </c>
      <c r="C48" s="52">
        <f>C27*(2*C26+2*2*PI()*(C15+C16/2)/C29)</f>
        <v>0.44542697574481055</v>
      </c>
      <c r="D48" s="13" t="s">
        <v>24</v>
      </c>
      <c r="E48" s="26" t="s">
        <v>113</v>
      </c>
      <c r="F48" s="13"/>
      <c r="G48" s="27"/>
      <c r="H48" s="12" t="s">
        <v>114</v>
      </c>
      <c r="I48" s="13"/>
      <c r="J48" s="35"/>
      <c r="K48" s="35"/>
      <c r="L48" s="35"/>
      <c r="M48" s="35"/>
      <c r="N48" s="35"/>
      <c r="O48" s="35"/>
    </row>
    <row r="49" spans="1:15" s="12" customFormat="1" x14ac:dyDescent="0.25">
      <c r="A49" s="12" t="s">
        <v>115</v>
      </c>
      <c r="B49" s="12" t="s">
        <v>116</v>
      </c>
      <c r="C49" s="53">
        <f>C48*C25</f>
        <v>26.725618544688633</v>
      </c>
      <c r="D49" s="13" t="s">
        <v>24</v>
      </c>
      <c r="E49" s="13"/>
      <c r="F49" s="13"/>
      <c r="I49" s="13"/>
      <c r="J49" s="35"/>
      <c r="K49" s="35"/>
      <c r="L49" s="35"/>
      <c r="M49" s="35"/>
      <c r="N49" s="35"/>
      <c r="O49" s="35"/>
    </row>
    <row r="50" spans="1:15" s="12" customFormat="1" x14ac:dyDescent="0.25">
      <c r="A50" s="12" t="s">
        <v>117</v>
      </c>
      <c r="B50" s="12" t="s">
        <v>118</v>
      </c>
      <c r="C50" s="57">
        <f>C49*C29*C23</f>
        <v>106.90247417875453</v>
      </c>
      <c r="D50" s="13" t="s">
        <v>24</v>
      </c>
      <c r="E50" s="13"/>
      <c r="F50" s="13"/>
      <c r="G50" s="37"/>
      <c r="J50" s="35"/>
      <c r="K50" s="35"/>
      <c r="L50" s="35"/>
      <c r="M50" s="35"/>
      <c r="N50" s="35"/>
      <c r="O50" s="35"/>
    </row>
    <row r="51" spans="1:15" s="12" customFormat="1" x14ac:dyDescent="0.25">
      <c r="C51" s="36"/>
      <c r="D51" s="13"/>
      <c r="E51" s="13"/>
      <c r="F51" s="13"/>
    </row>
    <row r="52" spans="1:15" s="12" customFormat="1" ht="18.75" x14ac:dyDescent="0.3">
      <c r="A52" s="34" t="s">
        <v>119</v>
      </c>
      <c r="C52" s="36"/>
      <c r="D52" s="13"/>
      <c r="E52" s="44"/>
      <c r="F52" s="13"/>
      <c r="I52" s="13"/>
      <c r="J52" s="35"/>
      <c r="K52" s="35"/>
      <c r="L52" s="35"/>
      <c r="M52" s="35"/>
      <c r="N52" s="35"/>
      <c r="O52" s="35"/>
    </row>
    <row r="53" spans="1:15" s="12" customFormat="1" x14ac:dyDescent="0.25">
      <c r="A53" s="12" t="s">
        <v>120</v>
      </c>
      <c r="B53" s="12" t="s">
        <v>121</v>
      </c>
      <c r="C53" s="56">
        <v>1.1000000000000001</v>
      </c>
      <c r="D53" s="13"/>
      <c r="E53" s="13" t="s">
        <v>122</v>
      </c>
      <c r="F53" s="13"/>
      <c r="H53" s="12" t="s">
        <v>123</v>
      </c>
      <c r="I53" s="13"/>
      <c r="J53" s="35"/>
      <c r="K53" s="35"/>
      <c r="L53" s="35"/>
      <c r="M53" s="35"/>
      <c r="N53" s="35"/>
      <c r="O53" s="35"/>
    </row>
    <row r="54" spans="1:15" s="12" customFormat="1" x14ac:dyDescent="0.25">
      <c r="A54" s="12" t="s">
        <v>124</v>
      </c>
      <c r="B54" s="12" t="s">
        <v>125</v>
      </c>
      <c r="C54" s="54"/>
      <c r="D54" s="13"/>
      <c r="E54" s="13" t="s">
        <v>126</v>
      </c>
      <c r="F54" s="13"/>
      <c r="G54" s="37"/>
      <c r="H54" s="12" t="s">
        <v>127</v>
      </c>
      <c r="I54" s="13"/>
      <c r="J54" s="35"/>
      <c r="K54" s="35"/>
      <c r="L54" s="35"/>
      <c r="M54" s="35"/>
      <c r="N54" s="35"/>
      <c r="O54" s="35"/>
    </row>
    <row r="55" spans="1:15" s="12" customFormat="1" x14ac:dyDescent="0.25">
      <c r="A55" s="12" t="s">
        <v>128</v>
      </c>
      <c r="B55" s="12" t="s">
        <v>129</v>
      </c>
      <c r="C55" s="74">
        <f>PI()*((C24/2)^2)</f>
        <v>1.0935884027146072E-6</v>
      </c>
      <c r="D55" s="13" t="s">
        <v>130</v>
      </c>
      <c r="E55" s="13"/>
      <c r="F55" s="13"/>
      <c r="G55" s="37"/>
      <c r="I55" s="13"/>
      <c r="J55" s="35"/>
      <c r="K55" s="35"/>
      <c r="L55" s="35"/>
      <c r="M55" s="35"/>
      <c r="N55" s="35"/>
      <c r="O55" s="35"/>
    </row>
    <row r="56" spans="1:15" s="12" customFormat="1" x14ac:dyDescent="0.25">
      <c r="A56" s="12" t="s">
        <v>199</v>
      </c>
      <c r="B56" s="12" t="s">
        <v>201</v>
      </c>
      <c r="C56" s="58">
        <f>C41*(1+C40*(C30-C39))/C55</f>
        <v>1.5961398234172079E-2</v>
      </c>
      <c r="D56" s="13" t="s">
        <v>200</v>
      </c>
      <c r="E56" s="13"/>
      <c r="F56" s="13"/>
      <c r="G56" s="37"/>
      <c r="I56" s="13"/>
      <c r="J56" s="35"/>
      <c r="K56" s="35"/>
      <c r="L56" s="35"/>
      <c r="M56" s="35"/>
      <c r="N56" s="35"/>
      <c r="O56" s="35"/>
    </row>
    <row r="57" spans="1:15" s="12" customFormat="1" x14ac:dyDescent="0.25">
      <c r="A57" s="12" t="s">
        <v>131</v>
      </c>
      <c r="B57" s="12" t="s">
        <v>132</v>
      </c>
      <c r="C57" s="74">
        <f>C56*C50*C53</f>
        <v>1.8769442588439389</v>
      </c>
      <c r="D57" s="13" t="s">
        <v>106</v>
      </c>
      <c r="E57" s="13"/>
      <c r="F57" s="13"/>
      <c r="I57" s="13"/>
      <c r="J57" s="35"/>
      <c r="K57" s="35"/>
      <c r="L57" s="35"/>
      <c r="M57" s="35"/>
      <c r="N57" s="35"/>
      <c r="O57" s="35"/>
    </row>
    <row r="58" spans="1:15" s="12" customFormat="1" x14ac:dyDescent="0.25">
      <c r="A58" s="16" t="s">
        <v>133</v>
      </c>
      <c r="B58" s="12" t="s">
        <v>134</v>
      </c>
      <c r="C58" s="74">
        <f>C34*(C25/C33)^2*C29</f>
        <v>1.4693877551020407E-2</v>
      </c>
      <c r="D58" s="13" t="s">
        <v>79</v>
      </c>
      <c r="E58" s="75"/>
      <c r="F58" s="26"/>
      <c r="G58" s="78"/>
    </row>
    <row r="59" spans="1:15" s="12" customFormat="1" x14ac:dyDescent="0.25">
      <c r="A59" s="12" t="s">
        <v>135</v>
      </c>
      <c r="B59" s="12" t="s">
        <v>136</v>
      </c>
      <c r="C59" s="53"/>
      <c r="D59" s="13" t="s">
        <v>137</v>
      </c>
      <c r="E59" s="44"/>
      <c r="F59" s="13"/>
      <c r="I59" s="13"/>
    </row>
    <row r="60" spans="1:15" s="12" customFormat="1" x14ac:dyDescent="0.25">
      <c r="A60" s="12" t="s">
        <v>138</v>
      </c>
      <c r="B60" s="12" t="s">
        <v>139</v>
      </c>
      <c r="C60" s="76">
        <f>C64*C58</f>
        <v>2.4296692898048731</v>
      </c>
      <c r="D60" s="13" t="s">
        <v>106</v>
      </c>
      <c r="E60" s="13"/>
      <c r="F60" s="13"/>
      <c r="G60" s="37"/>
    </row>
    <row r="61" spans="1:15" s="12" customFormat="1" x14ac:dyDescent="0.25">
      <c r="D61" s="13"/>
      <c r="E61" s="13"/>
      <c r="F61" s="13"/>
      <c r="G61" s="14"/>
    </row>
    <row r="62" spans="1:15" s="12" customFormat="1" ht="18.75" x14ac:dyDescent="0.3">
      <c r="A62" s="34" t="s">
        <v>140</v>
      </c>
      <c r="D62" s="13"/>
      <c r="E62" s="13"/>
      <c r="F62" s="13"/>
      <c r="G62" s="27"/>
    </row>
    <row r="63" spans="1:15" s="12" customFormat="1" x14ac:dyDescent="0.25">
      <c r="A63" s="12" t="s">
        <v>141</v>
      </c>
      <c r="B63" s="12" t="s">
        <v>142</v>
      </c>
      <c r="C63" s="56">
        <f>C11 * (PI() / 30)</f>
        <v>165.35249333394276</v>
      </c>
      <c r="D63" s="13" t="s">
        <v>143</v>
      </c>
      <c r="E63" s="13"/>
      <c r="F63" s="13"/>
      <c r="G63" s="37"/>
      <c r="H63" s="37"/>
      <c r="I63" s="13"/>
      <c r="J63" s="35"/>
      <c r="K63" s="35"/>
      <c r="L63" s="35"/>
      <c r="M63" s="35"/>
      <c r="N63" s="35"/>
      <c r="O63" s="35"/>
    </row>
    <row r="64" spans="1:15" s="23" customFormat="1" x14ac:dyDescent="0.25">
      <c r="A64" s="16" t="s">
        <v>144</v>
      </c>
      <c r="B64" s="16" t="s">
        <v>145</v>
      </c>
      <c r="C64" s="55">
        <f>C63*(C19/2)</f>
        <v>165.35249333394276</v>
      </c>
      <c r="D64" s="21" t="s">
        <v>143</v>
      </c>
      <c r="E64" s="21"/>
      <c r="F64" s="20"/>
      <c r="G64" s="39"/>
    </row>
    <row r="65" spans="1:15" s="12" customFormat="1" x14ac:dyDescent="0.25">
      <c r="A65" s="12" t="s">
        <v>146</v>
      </c>
      <c r="B65" s="12" t="s">
        <v>147</v>
      </c>
      <c r="C65" s="54">
        <f>C63*(C15+C16/2)</f>
        <v>8.6810059000319946</v>
      </c>
      <c r="D65" s="13" t="s">
        <v>148</v>
      </c>
      <c r="E65" s="13"/>
      <c r="F65" s="13"/>
      <c r="I65" s="13"/>
      <c r="J65" s="35"/>
      <c r="K65" s="35"/>
      <c r="L65" s="35"/>
      <c r="M65" s="35"/>
      <c r="N65" s="35"/>
      <c r="O65" s="35"/>
    </row>
    <row r="66" spans="1:15" s="12" customFormat="1" x14ac:dyDescent="0.25">
      <c r="A66" s="12" t="s">
        <v>149</v>
      </c>
      <c r="B66" s="12" t="s">
        <v>150</v>
      </c>
      <c r="C66" s="53">
        <f>C25*C20*C65*(2*C26)*C29*C28/SQRT(2)</f>
        <v>63.642911909641875</v>
      </c>
      <c r="D66" s="13" t="s">
        <v>151</v>
      </c>
      <c r="E66" s="13"/>
      <c r="F66" s="13"/>
      <c r="I66" s="14"/>
    </row>
    <row r="67" spans="1:15" s="12" customFormat="1" x14ac:dyDescent="0.25">
      <c r="A67" s="12" t="s">
        <v>152</v>
      </c>
      <c r="B67" s="12" t="s">
        <v>153</v>
      </c>
      <c r="C67" s="54">
        <f>C66/SQRT((C57+C44)^2+C60^2)</f>
        <v>2.813838872318625</v>
      </c>
      <c r="D67" s="13" t="s">
        <v>154</v>
      </c>
      <c r="E67" s="26" t="s">
        <v>155</v>
      </c>
      <c r="F67" s="26"/>
      <c r="I67" s="13"/>
    </row>
    <row r="68" spans="1:15" s="12" customFormat="1" x14ac:dyDescent="0.25">
      <c r="A68" s="12" t="s">
        <v>156</v>
      </c>
      <c r="B68" s="12" t="s">
        <v>157</v>
      </c>
      <c r="C68" s="57">
        <f>C67*C44</f>
        <v>57.993219158486859</v>
      </c>
      <c r="D68" s="13" t="s">
        <v>158</v>
      </c>
      <c r="E68" s="13"/>
      <c r="F68" s="13"/>
      <c r="I68" s="13"/>
    </row>
    <row r="69" spans="1:15" s="12" customFormat="1" x14ac:dyDescent="0.25">
      <c r="D69" s="13"/>
      <c r="E69" s="13"/>
      <c r="F69" s="13"/>
      <c r="G69" s="14"/>
    </row>
    <row r="70" spans="1:15" s="12" customFormat="1" x14ac:dyDescent="0.25">
      <c r="A70" s="12" t="s">
        <v>159</v>
      </c>
      <c r="B70" s="12" t="s">
        <v>160</v>
      </c>
      <c r="C70" s="56">
        <f>C68*C67</f>
        <v>163.18357439904355</v>
      </c>
      <c r="D70" s="13" t="s">
        <v>161</v>
      </c>
      <c r="E70" s="13"/>
      <c r="F70" s="13"/>
    </row>
    <row r="71" spans="1:15" s="12" customFormat="1" x14ac:dyDescent="0.25">
      <c r="A71" s="12" t="s">
        <v>162</v>
      </c>
      <c r="B71" s="12" t="s">
        <v>163</v>
      </c>
      <c r="C71" s="53">
        <f>C23*C67^2*C57</f>
        <v>14.86106128607072</v>
      </c>
      <c r="D71" s="13" t="s">
        <v>161</v>
      </c>
      <c r="E71" s="13"/>
      <c r="F71" s="13"/>
      <c r="J71" s="35"/>
      <c r="K71" s="35"/>
      <c r="L71" s="35"/>
      <c r="M71" s="35"/>
      <c r="N71" s="35"/>
      <c r="O71" s="35"/>
    </row>
    <row r="72" spans="1:15" s="12" customFormat="1" x14ac:dyDescent="0.25">
      <c r="A72" s="16" t="s">
        <v>164</v>
      </c>
      <c r="B72" s="12" t="s">
        <v>165</v>
      </c>
      <c r="C72" s="54">
        <f>(C11/C36)*C37+C38</f>
        <v>123.425</v>
      </c>
      <c r="D72" s="13" t="s">
        <v>88</v>
      </c>
      <c r="E72" s="26"/>
      <c r="F72" s="26"/>
      <c r="G72" s="16"/>
    </row>
    <row r="73" spans="1:15" s="12" customFormat="1" x14ac:dyDescent="0.25">
      <c r="A73" s="12" t="s">
        <v>166</v>
      </c>
      <c r="B73" s="12" t="s">
        <v>167</v>
      </c>
      <c r="C73" s="57">
        <f>C70+C71+C72</f>
        <v>301.46963568511427</v>
      </c>
      <c r="D73" s="13" t="s">
        <v>161</v>
      </c>
      <c r="E73" s="13" t="s">
        <v>168</v>
      </c>
      <c r="F73" s="13"/>
    </row>
    <row r="74" spans="1:15" s="12" customFormat="1" x14ac:dyDescent="0.25">
      <c r="A74" s="12" t="s">
        <v>169</v>
      </c>
      <c r="B74" s="12" t="s">
        <v>170</v>
      </c>
      <c r="C74" s="59">
        <f>C70/C73</f>
        <v>0.54129356685689289</v>
      </c>
      <c r="D74" s="13"/>
      <c r="E74" s="13" t="s">
        <v>171</v>
      </c>
      <c r="F74" s="13"/>
      <c r="G74" s="37"/>
    </row>
    <row r="75" spans="1:15" s="12" customFormat="1" x14ac:dyDescent="0.25">
      <c r="C75" s="36"/>
      <c r="D75" s="13"/>
      <c r="E75" s="13"/>
      <c r="F75" s="13"/>
      <c r="I75" s="13"/>
    </row>
    <row r="76" spans="1:15" s="12" customFormat="1" x14ac:dyDescent="0.25">
      <c r="A76" s="12" t="s">
        <v>172</v>
      </c>
      <c r="B76" s="12" t="s">
        <v>173</v>
      </c>
      <c r="C76" s="52">
        <f>C73/C63</f>
        <v>1.8231937699074903</v>
      </c>
      <c r="D76" s="13" t="s">
        <v>19</v>
      </c>
      <c r="E76" s="13">
        <v>1.766</v>
      </c>
      <c r="F76" s="13"/>
      <c r="J76" s="35"/>
      <c r="K76" s="35"/>
      <c r="L76" s="35"/>
      <c r="M76" s="35"/>
      <c r="N76" s="35"/>
      <c r="O76" s="35"/>
    </row>
    <row r="77" spans="1:15" s="12" customFormat="1" x14ac:dyDescent="0.25">
      <c r="A77" s="12" t="s">
        <v>197</v>
      </c>
      <c r="B77" s="12" t="s">
        <v>18</v>
      </c>
      <c r="C77" s="77">
        <f>C12</f>
        <v>1.823</v>
      </c>
      <c r="D77" s="13" t="s">
        <v>19</v>
      </c>
      <c r="E77" s="13"/>
      <c r="F77" s="13"/>
      <c r="G77" s="62" t="s">
        <v>174</v>
      </c>
      <c r="J77" s="35"/>
      <c r="K77" s="35"/>
      <c r="L77" s="35"/>
      <c r="M77" s="35"/>
      <c r="N77" s="35"/>
      <c r="O77" s="35"/>
    </row>
    <row r="78" spans="1:15" s="12" customFormat="1" x14ac:dyDescent="0.25">
      <c r="A78" s="12" t="s">
        <v>175</v>
      </c>
      <c r="B78" s="12" t="s">
        <v>176</v>
      </c>
      <c r="C78" s="71">
        <f>C76-C77</f>
        <v>1.9376990749031542E-4</v>
      </c>
      <c r="D78" s="13" t="s">
        <v>19</v>
      </c>
      <c r="E78" s="44" t="s">
        <v>177</v>
      </c>
      <c r="F78" s="13"/>
      <c r="G78" s="12" t="s">
        <v>178</v>
      </c>
      <c r="J78" s="35"/>
      <c r="K78" s="35"/>
      <c r="L78" s="35"/>
      <c r="M78" s="35"/>
      <c r="N78" s="35"/>
      <c r="O78" s="35"/>
    </row>
    <row r="79" spans="1:15" s="12" customFormat="1" x14ac:dyDescent="0.25">
      <c r="C79" s="38"/>
      <c r="D79" s="13"/>
      <c r="E79" s="13"/>
      <c r="F79" s="13"/>
    </row>
    <row r="80" spans="1:15" s="12" customFormat="1" x14ac:dyDescent="0.25">
      <c r="C80" s="40"/>
      <c r="D80" s="13"/>
      <c r="E80" s="13"/>
      <c r="F80" s="13"/>
      <c r="G80" s="37"/>
    </row>
    <row r="81" spans="1:15" s="12" customFormat="1" ht="18.75" x14ac:dyDescent="0.3">
      <c r="A81" s="34" t="s">
        <v>179</v>
      </c>
      <c r="C81" s="40"/>
      <c r="D81" s="13"/>
      <c r="E81" s="13"/>
      <c r="F81" s="13"/>
      <c r="G81" s="37"/>
    </row>
    <row r="82" spans="1:15" s="12" customFormat="1" x14ac:dyDescent="0.25">
      <c r="A82" s="12" t="s">
        <v>180</v>
      </c>
      <c r="B82" s="12" t="s">
        <v>181</v>
      </c>
      <c r="C82" s="43">
        <f>+C23*C83*C66*C66/((C56+C83)^2+C60^2)</f>
        <v>828.07543839778043</v>
      </c>
      <c r="D82" s="13" t="s">
        <v>161</v>
      </c>
      <c r="E82" s="13"/>
      <c r="F82" s="13"/>
      <c r="G82" s="37" t="s">
        <v>182</v>
      </c>
      <c r="H82" s="12" t="s">
        <v>183</v>
      </c>
    </row>
    <row r="83" spans="1:15" s="12" customFormat="1" x14ac:dyDescent="0.25">
      <c r="A83" s="12" t="s">
        <v>184</v>
      </c>
      <c r="B83" s="12" t="s">
        <v>185</v>
      </c>
      <c r="C83" s="72">
        <f>+SQRT(C56^2+C60^2)</f>
        <v>2.4297217174101453</v>
      </c>
      <c r="D83" s="13" t="s">
        <v>106</v>
      </c>
      <c r="E83" s="13"/>
      <c r="F83" s="13"/>
      <c r="G83" s="12" t="s">
        <v>186</v>
      </c>
      <c r="H83" s="12" t="s">
        <v>187</v>
      </c>
      <c r="J83" s="35"/>
      <c r="K83" s="35"/>
      <c r="L83" s="35"/>
      <c r="M83" s="35"/>
      <c r="N83" s="35"/>
      <c r="O83" s="35"/>
    </row>
    <row r="84" spans="1:15" s="12" customFormat="1" x14ac:dyDescent="0.25">
      <c r="A84" s="12" t="s">
        <v>188</v>
      </c>
      <c r="B84" s="12" t="s">
        <v>189</v>
      </c>
      <c r="C84" s="73">
        <f>+C76/C63</f>
        <v>1.1026103889618421E-2</v>
      </c>
      <c r="D84" s="13" t="s">
        <v>190</v>
      </c>
      <c r="E84" s="13"/>
      <c r="F84" s="13"/>
      <c r="G84" s="12" t="s">
        <v>191</v>
      </c>
      <c r="H84" s="12" t="s">
        <v>192</v>
      </c>
    </row>
    <row r="85" spans="1:15" s="12" customFormat="1" x14ac:dyDescent="0.25">
      <c r="D85" s="13"/>
      <c r="E85" s="13"/>
      <c r="F85" s="13"/>
      <c r="G85" s="14"/>
    </row>
    <row r="91" spans="1:15" s="12" customFormat="1" ht="23.25" x14ac:dyDescent="0.35">
      <c r="A91" s="85" t="s">
        <v>193</v>
      </c>
      <c r="D91" s="13"/>
      <c r="E91" s="13"/>
      <c r="F91" s="13"/>
      <c r="G91" s="14"/>
    </row>
    <row r="92" spans="1:15" s="12" customFormat="1" x14ac:dyDescent="0.25">
      <c r="D92" s="13"/>
      <c r="E92" s="13"/>
      <c r="F92" s="13"/>
      <c r="G92" s="14"/>
    </row>
    <row r="93" spans="1:15" s="12" customFormat="1" x14ac:dyDescent="0.25">
      <c r="A93" s="12" t="s">
        <v>194</v>
      </c>
      <c r="B93" s="12" t="s">
        <v>195</v>
      </c>
      <c r="C93" s="93">
        <f>C12*C11/60*2*PI()</f>
        <v>301.43759534777769</v>
      </c>
      <c r="D93" s="13"/>
      <c r="E93" s="13"/>
      <c r="F93" s="13"/>
      <c r="G93" s="14"/>
    </row>
    <row r="94" spans="1:15" s="12" customFormat="1" x14ac:dyDescent="0.25">
      <c r="A94" s="12" t="s">
        <v>196</v>
      </c>
      <c r="B94" s="12" t="s">
        <v>14</v>
      </c>
      <c r="C94" s="94">
        <f>C11</f>
        <v>1579</v>
      </c>
      <c r="D94" s="13"/>
      <c r="E94" s="13"/>
      <c r="F94" s="13"/>
      <c r="G94" s="14"/>
    </row>
    <row r="95" spans="1:15" s="12" customFormat="1" x14ac:dyDescent="0.25">
      <c r="C95" s="84"/>
      <c r="D95" s="13"/>
      <c r="E95" s="13"/>
      <c r="F95" s="13"/>
      <c r="G95" s="14"/>
    </row>
    <row r="96" spans="1:15" s="12" customFormat="1" ht="15.75" thickBot="1" x14ac:dyDescent="0.3">
      <c r="B96" s="12" t="s">
        <v>14</v>
      </c>
      <c r="C96" s="12" t="s">
        <v>202</v>
      </c>
      <c r="D96" s="13"/>
      <c r="E96" s="13"/>
      <c r="F96" s="13"/>
      <c r="G96" s="14"/>
    </row>
    <row r="97" spans="1:7" s="12" customFormat="1" ht="15.75" thickBot="1" x14ac:dyDescent="0.3">
      <c r="A97" s="12" t="s">
        <v>206</v>
      </c>
      <c r="B97" s="95">
        <f>C11</f>
        <v>1579</v>
      </c>
      <c r="C97" s="86">
        <f>C73</f>
        <v>301.46963568511427</v>
      </c>
      <c r="D97" s="14" t="s">
        <v>203</v>
      </c>
      <c r="E97" s="13"/>
      <c r="F97" s="13"/>
      <c r="G97" s="14"/>
    </row>
    <row r="98" spans="1:7" s="12" customFormat="1" x14ac:dyDescent="0.25">
      <c r="B98" s="87">
        <v>0</v>
      </c>
      <c r="C98" s="88">
        <f t="dataTable" ref="C98:C110" dt2D="0" dtr="0" r1="C11"/>
        <v>5</v>
      </c>
      <c r="D98" s="13"/>
      <c r="E98" s="13"/>
      <c r="F98" s="13"/>
      <c r="G98" s="14"/>
    </row>
    <row r="99" spans="1:7" s="12" customFormat="1" x14ac:dyDescent="0.25">
      <c r="B99" s="89">
        <v>200</v>
      </c>
      <c r="C99" s="90">
        <v>22.889242788734624</v>
      </c>
      <c r="D99" s="13"/>
      <c r="E99" s="13"/>
      <c r="F99" s="13"/>
      <c r="G99" s="14"/>
    </row>
    <row r="100" spans="1:7" s="12" customFormat="1" x14ac:dyDescent="0.25">
      <c r="B100" s="89">
        <v>400</v>
      </c>
      <c r="C100" s="90">
        <v>46.550482282864735</v>
      </c>
      <c r="D100" s="13"/>
      <c r="E100" s="13"/>
      <c r="F100" s="13"/>
      <c r="G100" s="14"/>
    </row>
    <row r="101" spans="1:7" s="12" customFormat="1" x14ac:dyDescent="0.25">
      <c r="B101" s="89">
        <v>600</v>
      </c>
      <c r="C101" s="90">
        <v>75.964288265062493</v>
      </c>
      <c r="D101" s="13"/>
      <c r="E101" s="13"/>
      <c r="F101" s="13"/>
      <c r="G101" s="14"/>
    </row>
    <row r="102" spans="1:7" s="12" customFormat="1" x14ac:dyDescent="0.25">
      <c r="B102" s="89">
        <v>800</v>
      </c>
      <c r="C102" s="90">
        <v>111.09839798879378</v>
      </c>
      <c r="D102" s="13"/>
      <c r="E102" s="13"/>
      <c r="F102" s="13"/>
      <c r="G102" s="14"/>
    </row>
    <row r="103" spans="1:7" s="12" customFormat="1" x14ac:dyDescent="0.25">
      <c r="B103" s="89">
        <v>1000</v>
      </c>
      <c r="C103" s="90">
        <v>151.90789627600935</v>
      </c>
      <c r="D103" s="13"/>
      <c r="E103" s="13"/>
      <c r="F103" s="13"/>
      <c r="G103" s="14"/>
    </row>
    <row r="104" spans="1:7" s="12" customFormat="1" x14ac:dyDescent="0.25">
      <c r="B104" s="89">
        <v>1200</v>
      </c>
      <c r="C104" s="90">
        <v>198.3354650250912</v>
      </c>
      <c r="D104" s="13"/>
      <c r="E104" s="13"/>
      <c r="F104" s="13"/>
      <c r="G104" s="14"/>
    </row>
    <row r="105" spans="1:7" s="12" customFormat="1" x14ac:dyDescent="0.25">
      <c r="B105" s="89">
        <v>1400</v>
      </c>
      <c r="C105" s="90">
        <v>250.31169955294243</v>
      </c>
      <c r="D105" s="13"/>
      <c r="E105" s="13"/>
      <c r="F105" s="13"/>
      <c r="G105" s="14"/>
    </row>
    <row r="106" spans="1:7" s="12" customFormat="1" x14ac:dyDescent="0.25">
      <c r="B106" s="89">
        <v>1600</v>
      </c>
      <c r="C106" s="90">
        <v>307.7554885329298</v>
      </c>
      <c r="D106" s="13"/>
      <c r="E106" s="13"/>
      <c r="F106" s="13"/>
      <c r="G106" s="14"/>
    </row>
    <row r="107" spans="1:7" s="12" customFormat="1" x14ac:dyDescent="0.25">
      <c r="B107" s="89">
        <v>1800</v>
      </c>
      <c r="C107" s="90">
        <v>370.57445368112303</v>
      </c>
      <c r="D107" s="13"/>
      <c r="E107" s="13"/>
      <c r="F107" s="13"/>
      <c r="G107" s="14"/>
    </row>
    <row r="108" spans="1:7" s="12" customFormat="1" x14ac:dyDescent="0.25">
      <c r="B108" s="89">
        <v>2000</v>
      </c>
      <c r="C108" s="90">
        <v>438.66544479602601</v>
      </c>
      <c r="D108" s="13"/>
      <c r="E108" s="13"/>
      <c r="F108" s="13"/>
      <c r="G108" s="14"/>
    </row>
    <row r="109" spans="1:7" s="12" customFormat="1" x14ac:dyDescent="0.25">
      <c r="B109" s="89">
        <v>2200</v>
      </c>
      <c r="C109" s="90">
        <v>511.91508527943597</v>
      </c>
      <c r="D109" s="13"/>
      <c r="E109" s="13"/>
      <c r="F109" s="13"/>
      <c r="G109" s="14"/>
    </row>
    <row r="110" spans="1:7" s="12" customFormat="1" ht="15.75" thickBot="1" x14ac:dyDescent="0.3">
      <c r="B110" s="91">
        <v>2400</v>
      </c>
      <c r="C110" s="92">
        <v>590.20036286422874</v>
      </c>
      <c r="D110" s="13"/>
      <c r="E110" s="13"/>
      <c r="F110" s="13"/>
      <c r="G110" s="14"/>
    </row>
    <row r="111" spans="1:7" s="12" customFormat="1" x14ac:dyDescent="0.25">
      <c r="D111" s="13"/>
      <c r="E111" s="13"/>
      <c r="F111" s="13"/>
      <c r="G111" s="14"/>
    </row>
  </sheetData>
  <mergeCells count="1">
    <mergeCell ref="A1:F3"/>
  </mergeCell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9c0dabe-6791-4282-927d-9f4490665562">
      <Terms xmlns="http://schemas.microsoft.com/office/infopath/2007/PartnerControls"/>
    </lcf76f155ced4ddcb4097134ff3c332f>
    <TaxCatchAll xmlns="806083ee-ebb1-4caa-b9ed-1b2719206aa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4F1BE91CAA32A4FA328597B4EFE3ACE" ma:contentTypeVersion="15" ma:contentTypeDescription="Create a new document." ma:contentTypeScope="" ma:versionID="2aca6f94c8d86978e70ae67b520b84e8">
  <xsd:schema xmlns:xsd="http://www.w3.org/2001/XMLSchema" xmlns:xs="http://www.w3.org/2001/XMLSchema" xmlns:p="http://schemas.microsoft.com/office/2006/metadata/properties" xmlns:ns2="39c0dabe-6791-4282-927d-9f4490665562" xmlns:ns3="806083ee-ebb1-4caa-b9ed-1b2719206aaa" targetNamespace="http://schemas.microsoft.com/office/2006/metadata/properties" ma:root="true" ma:fieldsID="3da35c08f3c516271253674fd62704d4" ns2:_="" ns3:_="">
    <xsd:import namespace="39c0dabe-6791-4282-927d-9f4490665562"/>
    <xsd:import namespace="806083ee-ebb1-4caa-b9ed-1b2719206aa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2:MediaLengthInSeconds"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9c0dabe-6791-4282-927d-9f44906655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6e7bc199-5fe5-462f-a3d8-26f806c1f49a" ma:termSetId="09814cd3-568e-fe90-9814-8d621ff8fb84" ma:anchorId="fba54fb3-c3e1-fe81-a776-ca4b69148c4d" ma:open="true" ma:isKeyword="false">
      <xsd:complexType>
        <xsd:sequence>
          <xsd:element ref="pc:Terms" minOccurs="0" maxOccurs="1"/>
        </xsd:sequence>
      </xsd:complex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Location" ma:index="17" nillable="true" ma:displayName="Location" ma:indexed="true"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06083ee-ebb1-4caa-b9ed-1b2719206aaa"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4c6ed2d0-20e9-4e6f-be6c-a568bf20d268}" ma:internalName="TaxCatchAll" ma:showField="CatchAllData" ma:web="806083ee-ebb1-4caa-b9ed-1b2719206aaa">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C3A9434-1DD4-4E97-96EB-F40ECFBA7CA0}">
  <ds:schemaRefs>
    <ds:schemaRef ds:uri="http://schemas.microsoft.com/office/2006/metadata/properties"/>
    <ds:schemaRef ds:uri="http://schemas.microsoft.com/office/infopath/2007/PartnerControls"/>
    <ds:schemaRef ds:uri="39c0dabe-6791-4282-927d-9f4490665562"/>
    <ds:schemaRef ds:uri="806083ee-ebb1-4caa-b9ed-1b2719206aaa"/>
  </ds:schemaRefs>
</ds:datastoreItem>
</file>

<file path=customXml/itemProps2.xml><?xml version="1.0" encoding="utf-8"?>
<ds:datastoreItem xmlns:ds="http://schemas.openxmlformats.org/officeDocument/2006/customXml" ds:itemID="{4189B351-766F-4F69-B90B-B94C56907ECD}">
  <ds:schemaRefs>
    <ds:schemaRef ds:uri="http://schemas.microsoft.com/sharepoint/v3/contenttype/forms"/>
  </ds:schemaRefs>
</ds:datastoreItem>
</file>

<file path=customXml/itemProps3.xml><?xml version="1.0" encoding="utf-8"?>
<ds:datastoreItem xmlns:ds="http://schemas.openxmlformats.org/officeDocument/2006/customXml" ds:itemID="{499D88EC-070D-4C20-A0B5-20CB874A3D7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9c0dabe-6791-4282-927d-9f4490665562"/>
    <ds:schemaRef ds:uri="806083ee-ebb1-4caa-b9ed-1b2719206aa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DESIGN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Paul</dc:creator>
  <cp:keywords/>
  <dc:description/>
  <cp:lastModifiedBy>Markus Granrud Arntzen</cp:lastModifiedBy>
  <cp:revision/>
  <dcterms:created xsi:type="dcterms:W3CDTF">2016-09-07T08:59:50Z</dcterms:created>
  <dcterms:modified xsi:type="dcterms:W3CDTF">2026-10-08T22:18:01Z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0x01010094F1BE91CAA32A4FA328597B4EFE3ACE</vt:lpwstr>
  </property>
  <property fmtid="{D5CDD505-2E9C-101B-9397-08002B2CF9AE}" pid="3" name="MediaServiceImageTags">
    <vt:lpwstr/>
  </property>
</Properties>
</file>