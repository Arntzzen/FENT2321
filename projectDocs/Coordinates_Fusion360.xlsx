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iabracchi/Desktop/untitled folder/1-TEP4175-FENT2321_Fall26/CAD_design/"/>
    </mc:Choice>
  </mc:AlternateContent>
  <xr:revisionPtr revIDLastSave="0" documentId="13_ncr:1_{A32CE019-64CB-9A40-B8A5-59266B6E1566}" xr6:coauthVersionLast="47" xr6:coauthVersionMax="47" xr10:uidLastSave="{00000000-0000-0000-0000-000000000000}"/>
  <bookViews>
    <workbookView xWindow="0" yWindow="1240" windowWidth="34200" windowHeight="18840" xr2:uid="{D2C3CB3A-60E9-1744-A5C0-D1EB133E2127}"/>
  </bookViews>
  <sheets>
    <sheet name="1-Blade sections" sheetId="3" r:id="rId1"/>
    <sheet name="2-Data to be Imported in Fusion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3" l="1"/>
  <c r="M47" i="3"/>
  <c r="L48" i="3"/>
  <c r="M48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H14" i="3"/>
  <c r="G14" i="3"/>
  <c r="O44" i="3" l="1"/>
  <c r="P44" i="3"/>
  <c r="O38" i="3"/>
  <c r="P38" i="3"/>
  <c r="O32" i="3"/>
  <c r="P32" i="3"/>
  <c r="O26" i="3"/>
  <c r="P26" i="3"/>
  <c r="O20" i="3"/>
  <c r="P20" i="3"/>
  <c r="P43" i="3"/>
  <c r="O43" i="3"/>
  <c r="O37" i="3"/>
  <c r="P37" i="3"/>
  <c r="P31" i="3"/>
  <c r="O31" i="3"/>
  <c r="O25" i="3"/>
  <c r="P25" i="3"/>
  <c r="P19" i="3"/>
  <c r="O19" i="3"/>
  <c r="P14" i="3"/>
  <c r="O14" i="3"/>
  <c r="A4" i="4" s="1"/>
  <c r="P42" i="3"/>
  <c r="O42" i="3"/>
  <c r="P36" i="3"/>
  <c r="O36" i="3"/>
  <c r="P30" i="3"/>
  <c r="O30" i="3"/>
  <c r="P24" i="3"/>
  <c r="O24" i="3"/>
  <c r="P18" i="3"/>
  <c r="O18" i="3"/>
  <c r="O41" i="3"/>
  <c r="P41" i="3"/>
  <c r="O35" i="3"/>
  <c r="P35" i="3"/>
  <c r="O29" i="3"/>
  <c r="P29" i="3"/>
  <c r="O23" i="3"/>
  <c r="P23" i="3"/>
  <c r="O17" i="3"/>
  <c r="P17" i="3"/>
  <c r="P46" i="3"/>
  <c r="O46" i="3"/>
  <c r="O40" i="3"/>
  <c r="P40" i="3"/>
  <c r="P34" i="3"/>
  <c r="O34" i="3"/>
  <c r="O28" i="3"/>
  <c r="P28" i="3"/>
  <c r="P22" i="3"/>
  <c r="O22" i="3"/>
  <c r="O16" i="3"/>
  <c r="P16" i="3"/>
  <c r="O45" i="3"/>
  <c r="P45" i="3"/>
  <c r="O39" i="3"/>
  <c r="P39" i="3"/>
  <c r="O33" i="3"/>
  <c r="P33" i="3"/>
  <c r="O27" i="3"/>
  <c r="P27" i="3"/>
  <c r="O21" i="3"/>
  <c r="P21" i="3"/>
  <c r="O15" i="3"/>
  <c r="P15" i="3"/>
  <c r="BI48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BR18" i="3" l="1"/>
  <c r="BT22" i="3"/>
  <c r="BE26" i="3"/>
  <c r="BR34" i="3"/>
  <c r="BQ40" i="3"/>
  <c r="BH48" i="3"/>
  <c r="P38" i="4" s="1"/>
  <c r="BN48" i="3"/>
  <c r="BU48" i="3"/>
  <c r="BK48" i="3"/>
  <c r="BL48" i="3"/>
  <c r="AW48" i="3"/>
  <c r="AY48" i="3"/>
  <c r="BB48" i="3"/>
  <c r="BU16" i="3"/>
  <c r="BE16" i="3"/>
  <c r="BC16" i="3"/>
  <c r="BF16" i="3"/>
  <c r="BK16" i="3"/>
  <c r="BT20" i="3"/>
  <c r="BL20" i="3"/>
  <c r="BI20" i="3"/>
  <c r="BQ20" i="3"/>
  <c r="BN20" i="3"/>
  <c r="BR20" i="3"/>
  <c r="BF20" i="3"/>
  <c r="BE24" i="3"/>
  <c r="BC24" i="3"/>
  <c r="BU24" i="3"/>
  <c r="BN24" i="3"/>
  <c r="BK24" i="3"/>
  <c r="BR28" i="3"/>
  <c r="BT28" i="3"/>
  <c r="BI28" i="3"/>
  <c r="BL28" i="3"/>
  <c r="BN28" i="3"/>
  <c r="BF28" i="3"/>
  <c r="BI15" i="3"/>
  <c r="BK15" i="3"/>
  <c r="BE15" i="3"/>
  <c r="AW15" i="3"/>
  <c r="AY15" i="3"/>
  <c r="BO15" i="3"/>
  <c r="BT15" i="3"/>
  <c r="AZ15" i="3"/>
  <c r="BR15" i="3"/>
  <c r="BB15" i="3"/>
  <c r="BQ15" i="3"/>
  <c r="BN15" i="3"/>
  <c r="BF15" i="3"/>
  <c r="BC15" i="3"/>
  <c r="BU15" i="3"/>
  <c r="BH15" i="3"/>
  <c r="AV15" i="3"/>
  <c r="BL15" i="3"/>
  <c r="BR17" i="3"/>
  <c r="BK17" i="3"/>
  <c r="AV17" i="3"/>
  <c r="BE17" i="3"/>
  <c r="BC17" i="3"/>
  <c r="BH17" i="3"/>
  <c r="AZ17" i="3"/>
  <c r="BL17" i="3"/>
  <c r="BO17" i="3"/>
  <c r="AW17" i="3"/>
  <c r="BU17" i="3"/>
  <c r="BT17" i="3"/>
  <c r="BB17" i="3"/>
  <c r="N7" i="4" s="1"/>
  <c r="BQ17" i="3"/>
  <c r="AY17" i="3"/>
  <c r="M7" i="4" s="1"/>
  <c r="BI17" i="3"/>
  <c r="BE19" i="3"/>
  <c r="BI19" i="3"/>
  <c r="BK19" i="3"/>
  <c r="AW19" i="3"/>
  <c r="BO19" i="3"/>
  <c r="BU19" i="3"/>
  <c r="BN19" i="3"/>
  <c r="BF19" i="3"/>
  <c r="BC19" i="3"/>
  <c r="BH19" i="3"/>
  <c r="P9" i="4" s="1"/>
  <c r="BL19" i="3"/>
  <c r="AV19" i="3"/>
  <c r="L9" i="4" s="1"/>
  <c r="AY19" i="3"/>
  <c r="BR19" i="3"/>
  <c r="BQ19" i="3"/>
  <c r="BT19" i="3"/>
  <c r="AZ19" i="3"/>
  <c r="BC21" i="3"/>
  <c r="AV21" i="3"/>
  <c r="BR21" i="3"/>
  <c r="BO21" i="3"/>
  <c r="BT21" i="3"/>
  <c r="BB21" i="3"/>
  <c r="BL21" i="3"/>
  <c r="BK21" i="3"/>
  <c r="AY21" i="3"/>
  <c r="BI21" i="3"/>
  <c r="BN21" i="3"/>
  <c r="BF21" i="3"/>
  <c r="BE21" i="3"/>
  <c r="BH21" i="3"/>
  <c r="P11" i="4" s="1"/>
  <c r="AZ21" i="3"/>
  <c r="AW21" i="3"/>
  <c r="BU21" i="3"/>
  <c r="BI23" i="3"/>
  <c r="BK23" i="3"/>
  <c r="AW23" i="3"/>
  <c r="BE23" i="3"/>
  <c r="BQ23" i="3"/>
  <c r="BO23" i="3"/>
  <c r="AY23" i="3"/>
  <c r="BN23" i="3"/>
  <c r="BF23" i="3"/>
  <c r="BC23" i="3"/>
  <c r="BT23" i="3"/>
  <c r="AV23" i="3"/>
  <c r="AZ23" i="3"/>
  <c r="BB23" i="3"/>
  <c r="BU23" i="3"/>
  <c r="BH23" i="3"/>
  <c r="BL23" i="3"/>
  <c r="BC25" i="3"/>
  <c r="AV25" i="3"/>
  <c r="BE25" i="3"/>
  <c r="BH25" i="3"/>
  <c r="AZ25" i="3"/>
  <c r="BT25" i="3"/>
  <c r="BL25" i="3"/>
  <c r="BQ25" i="3"/>
  <c r="BB25" i="3"/>
  <c r="N15" i="4" s="1"/>
  <c r="BU25" i="3"/>
  <c r="AW25" i="3"/>
  <c r="BO25" i="3"/>
  <c r="BR25" i="3"/>
  <c r="BK25" i="3"/>
  <c r="AY25" i="3"/>
  <c r="BI25" i="3"/>
  <c r="BI27" i="3"/>
  <c r="BK27" i="3"/>
  <c r="BE27" i="3"/>
  <c r="AW27" i="3"/>
  <c r="BO27" i="3"/>
  <c r="AV27" i="3"/>
  <c r="BR27" i="3"/>
  <c r="BN27" i="3"/>
  <c r="BF27" i="3"/>
  <c r="AY27" i="3"/>
  <c r="BU27" i="3"/>
  <c r="BC27" i="3"/>
  <c r="BH27" i="3"/>
  <c r="BL27" i="3"/>
  <c r="BQ27" i="3"/>
  <c r="S17" i="4" s="1"/>
  <c r="BT27" i="3"/>
  <c r="AZ27" i="3"/>
  <c r="BC29" i="3"/>
  <c r="AV29" i="3"/>
  <c r="BO29" i="3"/>
  <c r="AW29" i="3"/>
  <c r="BB29" i="3"/>
  <c r="BE29" i="3"/>
  <c r="AZ29" i="3"/>
  <c r="BK29" i="3"/>
  <c r="AY29" i="3"/>
  <c r="BI29" i="3"/>
  <c r="BQ29" i="3"/>
  <c r="BN29" i="3"/>
  <c r="BF29" i="3"/>
  <c r="BT29" i="3"/>
  <c r="BH29" i="3"/>
  <c r="BL29" i="3"/>
  <c r="BR29" i="3"/>
  <c r="BU29" i="3"/>
  <c r="BQ31" i="3"/>
  <c r="BN31" i="3"/>
  <c r="BE31" i="3"/>
  <c r="AW31" i="3"/>
  <c r="BH31" i="3"/>
  <c r="BL31" i="3"/>
  <c r="BK31" i="3"/>
  <c r="AY31" i="3"/>
  <c r="BC31" i="3"/>
  <c r="BU31" i="3"/>
  <c r="BT31" i="3"/>
  <c r="AZ31" i="3"/>
  <c r="BR31" i="3"/>
  <c r="BO31" i="3"/>
  <c r="BB31" i="3"/>
  <c r="BF31" i="3"/>
  <c r="AV31" i="3"/>
  <c r="BI31" i="3"/>
  <c r="BN33" i="3"/>
  <c r="AV33" i="3"/>
  <c r="BE33" i="3"/>
  <c r="BH33" i="3"/>
  <c r="BL33" i="3"/>
  <c r="AZ33" i="3"/>
  <c r="BO33" i="3"/>
  <c r="BT33" i="3"/>
  <c r="BQ33" i="3"/>
  <c r="BB33" i="3"/>
  <c r="BU33" i="3"/>
  <c r="BI33" i="3"/>
  <c r="BR33" i="3"/>
  <c r="BK33" i="3"/>
  <c r="BC33" i="3"/>
  <c r="BF33" i="3"/>
  <c r="AW33" i="3"/>
  <c r="AY33" i="3"/>
  <c r="BN35" i="3"/>
  <c r="BE35" i="3"/>
  <c r="BH35" i="3"/>
  <c r="AW35" i="3"/>
  <c r="BL35" i="3"/>
  <c r="BK35" i="3"/>
  <c r="BU35" i="3"/>
  <c r="BR35" i="3"/>
  <c r="BC35" i="3"/>
  <c r="BQ35" i="3"/>
  <c r="BO35" i="3"/>
  <c r="AV35" i="3"/>
  <c r="AY35" i="3"/>
  <c r="BB35" i="3"/>
  <c r="BF35" i="3"/>
  <c r="BT35" i="3"/>
  <c r="AZ35" i="3"/>
  <c r="BI35" i="3"/>
  <c r="BN37" i="3"/>
  <c r="BE37" i="3"/>
  <c r="BH37" i="3"/>
  <c r="BL37" i="3"/>
  <c r="AV37" i="3"/>
  <c r="BT37" i="3"/>
  <c r="BO37" i="3"/>
  <c r="BK37" i="3"/>
  <c r="AW37" i="3"/>
  <c r="BB37" i="3"/>
  <c r="AY37" i="3"/>
  <c r="BI37" i="3"/>
  <c r="BR37" i="3"/>
  <c r="AZ37" i="3"/>
  <c r="BC37" i="3"/>
  <c r="BF37" i="3"/>
  <c r="BU37" i="3"/>
  <c r="BQ39" i="3"/>
  <c r="BN39" i="3"/>
  <c r="BE39" i="3"/>
  <c r="AW39" i="3"/>
  <c r="BH39" i="3"/>
  <c r="BL39" i="3"/>
  <c r="BK39" i="3"/>
  <c r="AY39" i="3"/>
  <c r="BC39" i="3"/>
  <c r="BT39" i="3"/>
  <c r="AV39" i="3"/>
  <c r="AZ39" i="3"/>
  <c r="BO39" i="3"/>
  <c r="BB39" i="3"/>
  <c r="BF39" i="3"/>
  <c r="BU39" i="3"/>
  <c r="BI39" i="3"/>
  <c r="BN41" i="3"/>
  <c r="AV41" i="3"/>
  <c r="BE41" i="3"/>
  <c r="BH41" i="3"/>
  <c r="BL41" i="3"/>
  <c r="AZ41" i="3"/>
  <c r="BT41" i="3"/>
  <c r="BQ41" i="3"/>
  <c r="BO41" i="3"/>
  <c r="BB41" i="3"/>
  <c r="BR41" i="3"/>
  <c r="BU41" i="3"/>
  <c r="AW41" i="3"/>
  <c r="BI41" i="3"/>
  <c r="BK41" i="3"/>
  <c r="BC41" i="3"/>
  <c r="BF41" i="3"/>
  <c r="AY41" i="3"/>
  <c r="BC43" i="3"/>
  <c r="BN43" i="3"/>
  <c r="BE43" i="3"/>
  <c r="BH43" i="3"/>
  <c r="BL43" i="3"/>
  <c r="AW43" i="3"/>
  <c r="BB43" i="3"/>
  <c r="BQ43" i="3"/>
  <c r="AV43" i="3"/>
  <c r="BK43" i="3"/>
  <c r="BR43" i="3"/>
  <c r="AY43" i="3"/>
  <c r="BO43" i="3"/>
  <c r="BU43" i="3"/>
  <c r="BF43" i="3"/>
  <c r="BT43" i="3"/>
  <c r="AZ43" i="3"/>
  <c r="BI43" i="3"/>
  <c r="BC45" i="3"/>
  <c r="BN45" i="3"/>
  <c r="BE45" i="3"/>
  <c r="BH45" i="3"/>
  <c r="BB45" i="3"/>
  <c r="AV45" i="3"/>
  <c r="BL45" i="3"/>
  <c r="AW45" i="3"/>
  <c r="BO45" i="3"/>
  <c r="BT45" i="3"/>
  <c r="AZ45" i="3"/>
  <c r="BR45" i="3"/>
  <c r="AY45" i="3"/>
  <c r="BI45" i="3"/>
  <c r="BQ45" i="3"/>
  <c r="BK45" i="3"/>
  <c r="BF45" i="3"/>
  <c r="BU45" i="3"/>
  <c r="BQ47" i="3"/>
  <c r="BC47" i="3"/>
  <c r="BN47" i="3"/>
  <c r="BE47" i="3"/>
  <c r="AW47" i="3"/>
  <c r="BH47" i="3"/>
  <c r="BB47" i="3"/>
  <c r="BL47" i="3"/>
  <c r="BK47" i="3"/>
  <c r="AY47" i="3"/>
  <c r="BU47" i="3"/>
  <c r="BT47" i="3"/>
  <c r="AZ47" i="3"/>
  <c r="BR47" i="3"/>
  <c r="BO47" i="3"/>
  <c r="BF47" i="3"/>
  <c r="AV47" i="3"/>
  <c r="BI47" i="3"/>
  <c r="BC26" i="3"/>
  <c r="BF25" i="3"/>
  <c r="BO24" i="3"/>
  <c r="BR39" i="3"/>
  <c r="BC18" i="3"/>
  <c r="BF17" i="3"/>
  <c r="BO16" i="3"/>
  <c r="BR23" i="3"/>
  <c r="BL14" i="3"/>
  <c r="BB16" i="3"/>
  <c r="BN18" i="3"/>
  <c r="BK20" i="3"/>
  <c r="BU22" i="3"/>
  <c r="BF24" i="3"/>
  <c r="BN26" i="3"/>
  <c r="BK28" i="3"/>
  <c r="BF30" i="3"/>
  <c r="BF32" i="3"/>
  <c r="BF34" i="3"/>
  <c r="BR36" i="3"/>
  <c r="BF38" i="3"/>
  <c r="BF40" i="3"/>
  <c r="BF42" i="3"/>
  <c r="BF44" i="3"/>
  <c r="BQ46" i="3"/>
  <c r="BB27" i="3"/>
  <c r="BN25" i="3"/>
  <c r="BQ37" i="3"/>
  <c r="BK14" i="3"/>
  <c r="BQ14" i="3"/>
  <c r="BU14" i="3"/>
  <c r="AW14" i="3"/>
  <c r="AZ14" i="3"/>
  <c r="BB18" i="3"/>
  <c r="BU18" i="3"/>
  <c r="BH18" i="3"/>
  <c r="AV18" i="3"/>
  <c r="AW18" i="3"/>
  <c r="BB22" i="3"/>
  <c r="BK22" i="3"/>
  <c r="BO22" i="3"/>
  <c r="AW22" i="3"/>
  <c r="BN22" i="3"/>
  <c r="BI22" i="3"/>
  <c r="BU26" i="3"/>
  <c r="BH26" i="3"/>
  <c r="BB26" i="3"/>
  <c r="BQ26" i="3"/>
  <c r="BT26" i="3"/>
  <c r="T16" i="4" s="1"/>
  <c r="BB30" i="3"/>
  <c r="BR30" i="3"/>
  <c r="BK30" i="3"/>
  <c r="BQ30" i="3"/>
  <c r="BU30" i="3"/>
  <c r="AV30" i="3"/>
  <c r="BB32" i="3"/>
  <c r="BU32" i="3"/>
  <c r="BL32" i="3"/>
  <c r="BH32" i="3"/>
  <c r="BQ34" i="3"/>
  <c r="AV34" i="3"/>
  <c r="BC34" i="3"/>
  <c r="AW34" i="3"/>
  <c r="BT36" i="3"/>
  <c r="BQ36" i="3"/>
  <c r="BB36" i="3"/>
  <c r="BL36" i="3"/>
  <c r="BH36" i="3"/>
  <c r="BC38" i="3"/>
  <c r="BQ38" i="3"/>
  <c r="AW38" i="3"/>
  <c r="BB40" i="3"/>
  <c r="BU40" i="3"/>
  <c r="BL40" i="3"/>
  <c r="BH40" i="3"/>
  <c r="BU42" i="3"/>
  <c r="BT42" i="3"/>
  <c r="BT44" i="3"/>
  <c r="BL44" i="3"/>
  <c r="BH44" i="3"/>
  <c r="BR46" i="3"/>
  <c r="BU46" i="3"/>
  <c r="AV46" i="3"/>
  <c r="BB19" i="3"/>
  <c r="BE18" i="3"/>
  <c r="BN17" i="3"/>
  <c r="BQ21" i="3"/>
  <c r="BQ24" i="3"/>
  <c r="BT38" i="3"/>
  <c r="BC22" i="3"/>
  <c r="BE30" i="3"/>
  <c r="BE22" i="3"/>
  <c r="BO28" i="3"/>
  <c r="BO20" i="3"/>
  <c r="BR42" i="3"/>
  <c r="BR26" i="3"/>
  <c r="BQ48" i="3"/>
  <c r="BQ32" i="3"/>
  <c r="BT30" i="3"/>
  <c r="BT46" i="3"/>
  <c r="AV22" i="3"/>
  <c r="AV38" i="3"/>
  <c r="BU38" i="3"/>
  <c r="BH34" i="3"/>
  <c r="BH38" i="3"/>
  <c r="BH42" i="3"/>
  <c r="BH46" i="3"/>
  <c r="AW26" i="3"/>
  <c r="AW42" i="3"/>
  <c r="BI26" i="3"/>
  <c r="BI18" i="3"/>
  <c r="BN16" i="3"/>
  <c r="BT34" i="3"/>
  <c r="BQ42" i="3"/>
  <c r="BF36" i="3"/>
  <c r="BF46" i="3"/>
  <c r="BF48" i="3"/>
  <c r="AV48" i="3"/>
  <c r="BC48" i="3"/>
  <c r="N38" i="4" s="1"/>
  <c r="AZ48" i="3"/>
  <c r="BN14" i="3"/>
  <c r="BE14" i="3"/>
  <c r="AV14" i="3"/>
  <c r="BI14" i="3"/>
  <c r="BC14" i="3"/>
  <c r="BH14" i="3"/>
  <c r="BB14" i="3"/>
  <c r="BO14" i="3"/>
  <c r="BF14" i="3"/>
  <c r="BR16" i="3"/>
  <c r="AZ16" i="3"/>
  <c r="BH16" i="3"/>
  <c r="AW16" i="3"/>
  <c r="AY16" i="3"/>
  <c r="AV16" i="3"/>
  <c r="BL18" i="3"/>
  <c r="AY18" i="3"/>
  <c r="AZ18" i="3"/>
  <c r="BF18" i="3"/>
  <c r="AZ20" i="3"/>
  <c r="AW20" i="3"/>
  <c r="AV20" i="3"/>
  <c r="BB20" i="3"/>
  <c r="BH20" i="3"/>
  <c r="AY20" i="3"/>
  <c r="BF22" i="3"/>
  <c r="AY22" i="3"/>
  <c r="BL22" i="3"/>
  <c r="AZ22" i="3"/>
  <c r="AZ24" i="3"/>
  <c r="BR24" i="3"/>
  <c r="BB24" i="3"/>
  <c r="AW24" i="3"/>
  <c r="AY24" i="3"/>
  <c r="AV24" i="3"/>
  <c r="BH24" i="3"/>
  <c r="BF26" i="3"/>
  <c r="AY26" i="3"/>
  <c r="BL26" i="3"/>
  <c r="AZ26" i="3"/>
  <c r="AZ28" i="3"/>
  <c r="AW28" i="3"/>
  <c r="AV28" i="3"/>
  <c r="BB28" i="3"/>
  <c r="BH28" i="3"/>
  <c r="AY28" i="3"/>
  <c r="BN30" i="3"/>
  <c r="BC30" i="3"/>
  <c r="AY30" i="3"/>
  <c r="BH30" i="3"/>
  <c r="AZ30" i="3"/>
  <c r="BI30" i="3"/>
  <c r="BR32" i="3"/>
  <c r="BN32" i="3"/>
  <c r="AZ32" i="3"/>
  <c r="BE32" i="3"/>
  <c r="O22" i="4" s="1"/>
  <c r="BI32" i="3"/>
  <c r="AW32" i="3"/>
  <c r="BK32" i="3"/>
  <c r="AV32" i="3"/>
  <c r="AY32" i="3"/>
  <c r="BN34" i="3"/>
  <c r="BE34" i="3"/>
  <c r="AY34" i="3"/>
  <c r="BI34" i="3"/>
  <c r="AZ34" i="3"/>
  <c r="BK34" i="3"/>
  <c r="BN36" i="3"/>
  <c r="AZ36" i="3"/>
  <c r="AW36" i="3"/>
  <c r="BE36" i="3"/>
  <c r="AV36" i="3"/>
  <c r="BI36" i="3"/>
  <c r="BK36" i="3"/>
  <c r="AY36" i="3"/>
  <c r="BN38" i="3"/>
  <c r="BE38" i="3"/>
  <c r="AY38" i="3"/>
  <c r="BI38" i="3"/>
  <c r="AZ38" i="3"/>
  <c r="BK38" i="3"/>
  <c r="BR40" i="3"/>
  <c r="S30" i="4" s="1"/>
  <c r="BN40" i="3"/>
  <c r="AZ40" i="3"/>
  <c r="BE40" i="3"/>
  <c r="BI40" i="3"/>
  <c r="AW40" i="3"/>
  <c r="BK40" i="3"/>
  <c r="AY40" i="3"/>
  <c r="AV40" i="3"/>
  <c r="BI42" i="3"/>
  <c r="BB42" i="3"/>
  <c r="BK42" i="3"/>
  <c r="AY42" i="3"/>
  <c r="BC42" i="3"/>
  <c r="BN42" i="3"/>
  <c r="AZ42" i="3"/>
  <c r="BE42" i="3"/>
  <c r="BI44" i="3"/>
  <c r="AZ44" i="3"/>
  <c r="AW44" i="3"/>
  <c r="BB44" i="3"/>
  <c r="BK44" i="3"/>
  <c r="AV44" i="3"/>
  <c r="BC44" i="3"/>
  <c r="BN44" i="3"/>
  <c r="BE44" i="3"/>
  <c r="AY44" i="3"/>
  <c r="M34" i="4" s="1"/>
  <c r="BI46" i="3"/>
  <c r="BB46" i="3"/>
  <c r="BK46" i="3"/>
  <c r="AY46" i="3"/>
  <c r="BC46" i="3"/>
  <c r="BN46" i="3"/>
  <c r="AZ46" i="3"/>
  <c r="BE46" i="3"/>
  <c r="BC28" i="3"/>
  <c r="BC20" i="3"/>
  <c r="BE28" i="3"/>
  <c r="O18" i="4" s="1"/>
  <c r="BE20" i="3"/>
  <c r="O10" i="4" s="1"/>
  <c r="BO26" i="3"/>
  <c r="BO18" i="3"/>
  <c r="BR38" i="3"/>
  <c r="BR22" i="3"/>
  <c r="BQ44" i="3"/>
  <c r="BQ28" i="3"/>
  <c r="BL16" i="3"/>
  <c r="BL24" i="3"/>
  <c r="BL30" i="3"/>
  <c r="BL34" i="3"/>
  <c r="BL38" i="3"/>
  <c r="BL42" i="3"/>
  <c r="BL46" i="3"/>
  <c r="AV26" i="3"/>
  <c r="AV42" i="3"/>
  <c r="BK26" i="3"/>
  <c r="BK18" i="3"/>
  <c r="BH22" i="3"/>
  <c r="AY14" i="3"/>
  <c r="AW30" i="3"/>
  <c r="AW46" i="3"/>
  <c r="BI24" i="3"/>
  <c r="BI16" i="3"/>
  <c r="BU44" i="3"/>
  <c r="BU36" i="3"/>
  <c r="BU28" i="3"/>
  <c r="BU20" i="3"/>
  <c r="BT48" i="3"/>
  <c r="BT40" i="3"/>
  <c r="BT32" i="3"/>
  <c r="BT24" i="3"/>
  <c r="T14" i="4" s="1"/>
  <c r="BT16" i="3"/>
  <c r="T6" i="4" s="1"/>
  <c r="BT18" i="3"/>
  <c r="BU34" i="3"/>
  <c r="BT14" i="3"/>
  <c r="BQ18" i="3"/>
  <c r="S8" i="4" s="1"/>
  <c r="BQ16" i="3"/>
  <c r="BO30" i="3"/>
  <c r="BO32" i="3"/>
  <c r="BO34" i="3"/>
  <c r="BO36" i="3"/>
  <c r="BO38" i="3"/>
  <c r="BO40" i="3"/>
  <c r="BO42" i="3"/>
  <c r="BO44" i="3"/>
  <c r="BO46" i="3"/>
  <c r="BO48" i="3"/>
  <c r="BR44" i="3"/>
  <c r="BB34" i="3"/>
  <c r="BB38" i="3"/>
  <c r="BQ22" i="3"/>
  <c r="BR14" i="3"/>
  <c r="BC32" i="3"/>
  <c r="BC36" i="3"/>
  <c r="BC40" i="3"/>
  <c r="BE48" i="3"/>
  <c r="BR48" i="3"/>
  <c r="AS19" i="3"/>
  <c r="S48" i="3"/>
  <c r="AB15" i="3"/>
  <c r="V23" i="3"/>
  <c r="S27" i="3"/>
  <c r="AQ35" i="3"/>
  <c r="S43" i="3"/>
  <c r="AN19" i="3"/>
  <c r="AH33" i="3"/>
  <c r="AB45" i="3"/>
  <c r="U47" i="3"/>
  <c r="AK43" i="3"/>
  <c r="AK48" i="3"/>
  <c r="S24" i="3"/>
  <c r="AQ28" i="3"/>
  <c r="S32" i="3"/>
  <c r="S40" i="3"/>
  <c r="AG44" i="3"/>
  <c r="AE48" i="3"/>
  <c r="AB48" i="3"/>
  <c r="AH17" i="3"/>
  <c r="U29" i="3"/>
  <c r="Y37" i="3"/>
  <c r="AE41" i="3"/>
  <c r="AH47" i="3"/>
  <c r="V41" i="3"/>
  <c r="AM14" i="3"/>
  <c r="AT14" i="3"/>
  <c r="AE14" i="3"/>
  <c r="AG14" i="3"/>
  <c r="AQ14" i="3"/>
  <c r="AB14" i="3"/>
  <c r="V14" i="3"/>
  <c r="AD14" i="3"/>
  <c r="F4" i="4" s="1"/>
  <c r="AN14" i="3"/>
  <c r="X18" i="3"/>
  <c r="R18" i="3"/>
  <c r="Y18" i="3"/>
  <c r="S18" i="3"/>
  <c r="AT18" i="3"/>
  <c r="AJ18" i="3"/>
  <c r="AJ22" i="3"/>
  <c r="AK22" i="3"/>
  <c r="U22" i="3"/>
  <c r="X22" i="3"/>
  <c r="AE26" i="3"/>
  <c r="AQ26" i="3"/>
  <c r="X26" i="3"/>
  <c r="R26" i="3"/>
  <c r="Y26" i="3"/>
  <c r="S26" i="3"/>
  <c r="AT26" i="3"/>
  <c r="AJ26" i="3"/>
  <c r="AE30" i="3"/>
  <c r="AQ30" i="3"/>
  <c r="AT30" i="3"/>
  <c r="AJ30" i="3"/>
  <c r="AK30" i="3"/>
  <c r="U30" i="3"/>
  <c r="X30" i="3"/>
  <c r="AQ34" i="3"/>
  <c r="Y34" i="3"/>
  <c r="AE34" i="3"/>
  <c r="AK34" i="3"/>
  <c r="AG34" i="3"/>
  <c r="R34" i="3"/>
  <c r="AH34" i="3"/>
  <c r="S34" i="3"/>
  <c r="AT34" i="3"/>
  <c r="AA34" i="3"/>
  <c r="AM34" i="3"/>
  <c r="Y38" i="3"/>
  <c r="AK38" i="3"/>
  <c r="AE38" i="3"/>
  <c r="AQ38" i="3"/>
  <c r="AT38" i="3"/>
  <c r="AG38" i="3"/>
  <c r="AH38" i="3"/>
  <c r="U38" i="3"/>
  <c r="AA38" i="3"/>
  <c r="AM38" i="3"/>
  <c r="AB42" i="3"/>
  <c r="AK42" i="3"/>
  <c r="R42" i="3"/>
  <c r="AE42" i="3"/>
  <c r="AM42" i="3"/>
  <c r="S42" i="3"/>
  <c r="AT42" i="3"/>
  <c r="Y42" i="3"/>
  <c r="AG42" i="3"/>
  <c r="AN42" i="3"/>
  <c r="AT46" i="3"/>
  <c r="Y46" i="3"/>
  <c r="AG46" i="3"/>
  <c r="AN46" i="3"/>
  <c r="AA46" i="3"/>
  <c r="AH46" i="3"/>
  <c r="AQ46" i="3"/>
  <c r="U46" i="3"/>
  <c r="AB46" i="3"/>
  <c r="AK46" i="3"/>
  <c r="R38" i="3"/>
  <c r="R22" i="3"/>
  <c r="AT15" i="3"/>
  <c r="X15" i="3"/>
  <c r="AD15" i="3"/>
  <c r="AJ15" i="3"/>
  <c r="AP15" i="3"/>
  <c r="Y15" i="3"/>
  <c r="AE15" i="3"/>
  <c r="AK15" i="3"/>
  <c r="AQ15" i="3"/>
  <c r="AG15" i="3"/>
  <c r="R15" i="3"/>
  <c r="AH15" i="3"/>
  <c r="AM15" i="3"/>
  <c r="S15" i="3"/>
  <c r="AS15" i="3"/>
  <c r="AN15" i="3"/>
  <c r="AA15" i="3"/>
  <c r="U15" i="3"/>
  <c r="AT19" i="3"/>
  <c r="X19" i="3"/>
  <c r="AD19" i="3"/>
  <c r="AJ19" i="3"/>
  <c r="AP19" i="3"/>
  <c r="Y19" i="3"/>
  <c r="AE19" i="3"/>
  <c r="AK19" i="3"/>
  <c r="AQ19" i="3"/>
  <c r="AG19" i="3"/>
  <c r="R19" i="3"/>
  <c r="AH19" i="3"/>
  <c r="AA19" i="3"/>
  <c r="U19" i="3"/>
  <c r="AB19" i="3"/>
  <c r="V19" i="3"/>
  <c r="AM19" i="3"/>
  <c r="AT23" i="3"/>
  <c r="X23" i="3"/>
  <c r="AD23" i="3"/>
  <c r="AJ23" i="3"/>
  <c r="AP23" i="3"/>
  <c r="Y23" i="3"/>
  <c r="AE23" i="3"/>
  <c r="AK23" i="3"/>
  <c r="AQ23" i="3"/>
  <c r="AG23" i="3"/>
  <c r="R23" i="3"/>
  <c r="AH23" i="3"/>
  <c r="AM23" i="3"/>
  <c r="S23" i="3"/>
  <c r="AS23" i="3"/>
  <c r="AN23" i="3"/>
  <c r="AA23" i="3"/>
  <c r="U23" i="3"/>
  <c r="AT27" i="3"/>
  <c r="X27" i="3"/>
  <c r="AD27" i="3"/>
  <c r="AJ27" i="3"/>
  <c r="AP27" i="3"/>
  <c r="Y27" i="3"/>
  <c r="AE27" i="3"/>
  <c r="AK27" i="3"/>
  <c r="AQ27" i="3"/>
  <c r="AG27" i="3"/>
  <c r="R27" i="3"/>
  <c r="AH27" i="3"/>
  <c r="AA27" i="3"/>
  <c r="U27" i="3"/>
  <c r="AB27" i="3"/>
  <c r="V27" i="3"/>
  <c r="AM27" i="3"/>
  <c r="AT31" i="3"/>
  <c r="X31" i="3"/>
  <c r="AD31" i="3"/>
  <c r="AJ31" i="3"/>
  <c r="AP31" i="3"/>
  <c r="Y31" i="3"/>
  <c r="AE31" i="3"/>
  <c r="AK31" i="3"/>
  <c r="AQ31" i="3"/>
  <c r="AG31" i="3"/>
  <c r="R31" i="3"/>
  <c r="AH31" i="3"/>
  <c r="AM31" i="3"/>
  <c r="S31" i="3"/>
  <c r="AS31" i="3"/>
  <c r="AN31" i="3"/>
  <c r="AA31" i="3"/>
  <c r="U31" i="3"/>
  <c r="AT35" i="3"/>
  <c r="AA35" i="3"/>
  <c r="AG35" i="3"/>
  <c r="AM35" i="3"/>
  <c r="R35" i="3"/>
  <c r="AB35" i="3"/>
  <c r="AH35" i="3"/>
  <c r="AN35" i="3"/>
  <c r="X35" i="3"/>
  <c r="AJ35" i="3"/>
  <c r="U35" i="3"/>
  <c r="Y35" i="3"/>
  <c r="AK35" i="3"/>
  <c r="V35" i="3"/>
  <c r="AD35" i="3"/>
  <c r="AP35" i="3"/>
  <c r="AT39" i="3"/>
  <c r="AA39" i="3"/>
  <c r="AG39" i="3"/>
  <c r="AM39" i="3"/>
  <c r="R39" i="3"/>
  <c r="AB39" i="3"/>
  <c r="AN39" i="3"/>
  <c r="AH39" i="3"/>
  <c r="X39" i="3"/>
  <c r="AJ39" i="3"/>
  <c r="S39" i="3"/>
  <c r="AS39" i="3"/>
  <c r="Y39" i="3"/>
  <c r="AK39" i="3"/>
  <c r="AD39" i="3"/>
  <c r="AP39" i="3"/>
  <c r="AT45" i="3"/>
  <c r="AA45" i="3"/>
  <c r="AG45" i="3"/>
  <c r="AM45" i="3"/>
  <c r="R45" i="3"/>
  <c r="AS45" i="3"/>
  <c r="AD45" i="3"/>
  <c r="AK45" i="3"/>
  <c r="V45" i="3"/>
  <c r="X45" i="3"/>
  <c r="AE45" i="3"/>
  <c r="AN45" i="3"/>
  <c r="S45" i="3"/>
  <c r="Y45" i="3"/>
  <c r="AH45" i="3"/>
  <c r="AP45" i="3"/>
  <c r="R46" i="3"/>
  <c r="S35" i="3"/>
  <c r="R30" i="3"/>
  <c r="S19" i="3"/>
  <c r="U14" i="3"/>
  <c r="U44" i="3"/>
  <c r="U39" i="3"/>
  <c r="U18" i="3"/>
  <c r="AP14" i="3"/>
  <c r="AQ45" i="3"/>
  <c r="AQ42" i="3"/>
  <c r="AE39" i="3"/>
  <c r="AN34" i="3"/>
  <c r="AB31" i="3"/>
  <c r="AK26" i="3"/>
  <c r="Y22" i="3"/>
  <c r="AS35" i="3"/>
  <c r="AP16" i="3"/>
  <c r="U16" i="3"/>
  <c r="AQ16" i="3"/>
  <c r="R16" i="3"/>
  <c r="AD16" i="3"/>
  <c r="AD20" i="3"/>
  <c r="S20" i="3"/>
  <c r="AE20" i="3"/>
  <c r="AP20" i="3"/>
  <c r="U20" i="3"/>
  <c r="AP24" i="3"/>
  <c r="U24" i="3"/>
  <c r="AQ24" i="3"/>
  <c r="R24" i="3"/>
  <c r="AD24" i="3"/>
  <c r="Y28" i="3"/>
  <c r="AK28" i="3"/>
  <c r="AD28" i="3"/>
  <c r="S28" i="3"/>
  <c r="AE28" i="3"/>
  <c r="AP28" i="3"/>
  <c r="U28" i="3"/>
  <c r="Y32" i="3"/>
  <c r="AK32" i="3"/>
  <c r="AP32" i="3"/>
  <c r="U32" i="3"/>
  <c r="AQ32" i="3"/>
  <c r="R32" i="3"/>
  <c r="AD32" i="3"/>
  <c r="Y36" i="3"/>
  <c r="AE36" i="3"/>
  <c r="AK36" i="3"/>
  <c r="AQ36" i="3"/>
  <c r="AA36" i="3"/>
  <c r="AM36" i="3"/>
  <c r="S36" i="3"/>
  <c r="AB36" i="3"/>
  <c r="AN36" i="3"/>
  <c r="AG36" i="3"/>
  <c r="U36" i="3"/>
  <c r="AE40" i="3"/>
  <c r="Y40" i="3"/>
  <c r="AK40" i="3"/>
  <c r="AA40" i="3"/>
  <c r="AM40" i="3"/>
  <c r="U40" i="3"/>
  <c r="AB40" i="3"/>
  <c r="AN40" i="3"/>
  <c r="R40" i="3"/>
  <c r="AG40" i="3"/>
  <c r="AQ40" i="3"/>
  <c r="AA44" i="3"/>
  <c r="AH44" i="3"/>
  <c r="AQ44" i="3"/>
  <c r="S44" i="3"/>
  <c r="AB44" i="3"/>
  <c r="AK44" i="3"/>
  <c r="AE44" i="3"/>
  <c r="AM44" i="3"/>
  <c r="S16" i="3"/>
  <c r="U34" i="3"/>
  <c r="AH14" i="3"/>
  <c r="AM46" i="3"/>
  <c r="AA42" i="3"/>
  <c r="E32" i="4" s="1"/>
  <c r="AH40" i="3"/>
  <c r="AB38" i="3"/>
  <c r="AE24" i="3"/>
  <c r="AT17" i="3"/>
  <c r="X17" i="3"/>
  <c r="AD17" i="3"/>
  <c r="AJ17" i="3"/>
  <c r="AP17" i="3"/>
  <c r="Y17" i="3"/>
  <c r="AE17" i="3"/>
  <c r="AK17" i="3"/>
  <c r="AQ17" i="3"/>
  <c r="AA17" i="3"/>
  <c r="AM17" i="3"/>
  <c r="R17" i="3"/>
  <c r="AS17" i="3"/>
  <c r="AB17" i="3"/>
  <c r="AN17" i="3"/>
  <c r="U17" i="3"/>
  <c r="AG17" i="3"/>
  <c r="V17" i="3"/>
  <c r="AT21" i="3"/>
  <c r="X21" i="3"/>
  <c r="AD21" i="3"/>
  <c r="AJ21" i="3"/>
  <c r="AP21" i="3"/>
  <c r="Y21" i="3"/>
  <c r="AE21" i="3"/>
  <c r="AK21" i="3"/>
  <c r="AQ21" i="3"/>
  <c r="AA21" i="3"/>
  <c r="AM21" i="3"/>
  <c r="R21" i="3"/>
  <c r="AS21" i="3"/>
  <c r="AB21" i="3"/>
  <c r="AN21" i="3"/>
  <c r="AG21" i="3"/>
  <c r="V21" i="3"/>
  <c r="AH21" i="3"/>
  <c r="S21" i="3"/>
  <c r="AT25" i="3"/>
  <c r="X25" i="3"/>
  <c r="AD25" i="3"/>
  <c r="AJ25" i="3"/>
  <c r="AP25" i="3"/>
  <c r="Y25" i="3"/>
  <c r="AE25" i="3"/>
  <c r="AK25" i="3"/>
  <c r="AQ25" i="3"/>
  <c r="AA25" i="3"/>
  <c r="AM25" i="3"/>
  <c r="R25" i="3"/>
  <c r="AS25" i="3"/>
  <c r="AB25" i="3"/>
  <c r="AN25" i="3"/>
  <c r="U25" i="3"/>
  <c r="AG25" i="3"/>
  <c r="V25" i="3"/>
  <c r="AT29" i="3"/>
  <c r="X29" i="3"/>
  <c r="AD29" i="3"/>
  <c r="AJ29" i="3"/>
  <c r="AP29" i="3"/>
  <c r="Y29" i="3"/>
  <c r="AE29" i="3"/>
  <c r="AK29" i="3"/>
  <c r="AQ29" i="3"/>
  <c r="AA29" i="3"/>
  <c r="AM29" i="3"/>
  <c r="R29" i="3"/>
  <c r="AS29" i="3"/>
  <c r="AB29" i="3"/>
  <c r="AN29" i="3"/>
  <c r="AG29" i="3"/>
  <c r="V29" i="3"/>
  <c r="AH29" i="3"/>
  <c r="S29" i="3"/>
  <c r="AT33" i="3"/>
  <c r="X33" i="3"/>
  <c r="AD33" i="3"/>
  <c r="AJ33" i="3"/>
  <c r="Y33" i="3"/>
  <c r="AE33" i="3"/>
  <c r="AK33" i="3"/>
  <c r="AA33" i="3"/>
  <c r="AM33" i="3"/>
  <c r="R33" i="3"/>
  <c r="AS33" i="3"/>
  <c r="AB33" i="3"/>
  <c r="AN33" i="3"/>
  <c r="AP33" i="3"/>
  <c r="AQ33" i="3"/>
  <c r="U33" i="3"/>
  <c r="AG33" i="3"/>
  <c r="V33" i="3"/>
  <c r="AT37" i="3"/>
  <c r="AA37" i="3"/>
  <c r="AG37" i="3"/>
  <c r="AM37" i="3"/>
  <c r="R37" i="3"/>
  <c r="AB37" i="3"/>
  <c r="AS37" i="3"/>
  <c r="AH37" i="3"/>
  <c r="AN37" i="3"/>
  <c r="AD37" i="3"/>
  <c r="AP37" i="3"/>
  <c r="V37" i="3"/>
  <c r="AE37" i="3"/>
  <c r="AQ37" i="3"/>
  <c r="S37" i="3"/>
  <c r="X37" i="3"/>
  <c r="AJ37" i="3"/>
  <c r="AT41" i="3"/>
  <c r="AA41" i="3"/>
  <c r="AG41" i="3"/>
  <c r="AM41" i="3"/>
  <c r="R41" i="3"/>
  <c r="AS41" i="3"/>
  <c r="Y41" i="3"/>
  <c r="AH41" i="3"/>
  <c r="AP41" i="3"/>
  <c r="AB41" i="3"/>
  <c r="AJ41" i="3"/>
  <c r="AQ41" i="3"/>
  <c r="U41" i="3"/>
  <c r="AD41" i="3"/>
  <c r="AK41" i="3"/>
  <c r="AT43" i="3"/>
  <c r="AA43" i="3"/>
  <c r="AG43" i="3"/>
  <c r="AM43" i="3"/>
  <c r="R43" i="3"/>
  <c r="X43" i="3"/>
  <c r="AE43" i="3"/>
  <c r="AN43" i="3"/>
  <c r="U43" i="3"/>
  <c r="Y43" i="3"/>
  <c r="AH43" i="3"/>
  <c r="AP43" i="3"/>
  <c r="V43" i="3"/>
  <c r="AB43" i="3"/>
  <c r="AJ43" i="3"/>
  <c r="AQ43" i="3"/>
  <c r="AT47" i="3"/>
  <c r="AA47" i="3"/>
  <c r="AG47" i="3"/>
  <c r="AM47" i="3"/>
  <c r="R47" i="3"/>
  <c r="AB47" i="3"/>
  <c r="AJ47" i="3"/>
  <c r="AQ47" i="3"/>
  <c r="S47" i="3"/>
  <c r="AS47" i="3"/>
  <c r="AD47" i="3"/>
  <c r="AK47" i="3"/>
  <c r="X47" i="3"/>
  <c r="AE47" i="3"/>
  <c r="AN47" i="3"/>
  <c r="S46" i="3"/>
  <c r="S41" i="3"/>
  <c r="R36" i="3"/>
  <c r="S30" i="3"/>
  <c r="S25" i="3"/>
  <c r="R20" i="3"/>
  <c r="R14" i="3"/>
  <c r="U45" i="3"/>
  <c r="V39" i="3"/>
  <c r="V31" i="3"/>
  <c r="U21" i="3"/>
  <c r="AA14" i="3"/>
  <c r="AP47" i="3"/>
  <c r="AE46" i="3"/>
  <c r="AN44" i="3"/>
  <c r="AD43" i="3"/>
  <c r="AN41" i="3"/>
  <c r="AQ39" i="3"/>
  <c r="AK37" i="3"/>
  <c r="AE35" i="3"/>
  <c r="AE32" i="3"/>
  <c r="AN27" i="3"/>
  <c r="AB23" i="3"/>
  <c r="AK18" i="3"/>
  <c r="AS43" i="3"/>
  <c r="R44" i="3"/>
  <c r="S38" i="3"/>
  <c r="S33" i="3"/>
  <c r="R28" i="3"/>
  <c r="S22" i="3"/>
  <c r="S17" i="3"/>
  <c r="V47" i="3"/>
  <c r="U42" i="3"/>
  <c r="U37" i="3"/>
  <c r="U26" i="3"/>
  <c r="V15" i="3"/>
  <c r="Y47" i="3"/>
  <c r="AJ45" i="3"/>
  <c r="Y44" i="3"/>
  <c r="AH42" i="3"/>
  <c r="X41" i="3"/>
  <c r="D31" i="4" s="1"/>
  <c r="AN38" i="3"/>
  <c r="AH36" i="3"/>
  <c r="AB34" i="3"/>
  <c r="Y30" i="3"/>
  <c r="AH25" i="3"/>
  <c r="AQ20" i="3"/>
  <c r="AE16" i="3"/>
  <c r="AS27" i="3"/>
  <c r="AQ48" i="3"/>
  <c r="AH48" i="3"/>
  <c r="AA48" i="3"/>
  <c r="AJ14" i="3"/>
  <c r="Y16" i="3"/>
  <c r="AE18" i="3"/>
  <c r="Y20" i="3"/>
  <c r="AE22" i="3"/>
  <c r="Y24" i="3"/>
  <c r="R48" i="3"/>
  <c r="AN48" i="3"/>
  <c r="AG48" i="3"/>
  <c r="Y48" i="3"/>
  <c r="U48" i="3"/>
  <c r="AM48" i="3"/>
  <c r="AK24" i="3"/>
  <c r="AQ22" i="3"/>
  <c r="AK20" i="3"/>
  <c r="AQ18" i="3"/>
  <c r="AK16" i="3"/>
  <c r="AS14" i="3"/>
  <c r="AA16" i="3"/>
  <c r="AG16" i="3"/>
  <c r="AM16" i="3"/>
  <c r="AS16" i="3"/>
  <c r="AB16" i="3"/>
  <c r="AH16" i="3"/>
  <c r="AN16" i="3"/>
  <c r="AA18" i="3"/>
  <c r="AG18" i="3"/>
  <c r="AM18" i="3"/>
  <c r="AS18" i="3"/>
  <c r="AB18" i="3"/>
  <c r="AH18" i="3"/>
  <c r="AN18" i="3"/>
  <c r="AA20" i="3"/>
  <c r="AG20" i="3"/>
  <c r="AM20" i="3"/>
  <c r="AS20" i="3"/>
  <c r="AB20" i="3"/>
  <c r="AH20" i="3"/>
  <c r="AN20" i="3"/>
  <c r="AA22" i="3"/>
  <c r="AG22" i="3"/>
  <c r="AM22" i="3"/>
  <c r="AS22" i="3"/>
  <c r="AB22" i="3"/>
  <c r="AH22" i="3"/>
  <c r="AN22" i="3"/>
  <c r="AA24" i="3"/>
  <c r="AG24" i="3"/>
  <c r="AM24" i="3"/>
  <c r="AS24" i="3"/>
  <c r="AB24" i="3"/>
  <c r="AH24" i="3"/>
  <c r="AN24" i="3"/>
  <c r="AA26" i="3"/>
  <c r="AG26" i="3"/>
  <c r="AM26" i="3"/>
  <c r="AS26" i="3"/>
  <c r="AB26" i="3"/>
  <c r="AH26" i="3"/>
  <c r="AN26" i="3"/>
  <c r="AA28" i="3"/>
  <c r="AG28" i="3"/>
  <c r="AM28" i="3"/>
  <c r="AS28" i="3"/>
  <c r="AB28" i="3"/>
  <c r="AH28" i="3"/>
  <c r="AN28" i="3"/>
  <c r="AA30" i="3"/>
  <c r="AG30" i="3"/>
  <c r="AM30" i="3"/>
  <c r="AS30" i="3"/>
  <c r="AB30" i="3"/>
  <c r="AH30" i="3"/>
  <c r="AN30" i="3"/>
  <c r="AA32" i="3"/>
  <c r="AG32" i="3"/>
  <c r="AM32" i="3"/>
  <c r="AS32" i="3"/>
  <c r="AB32" i="3"/>
  <c r="AH32" i="3"/>
  <c r="AN32" i="3"/>
  <c r="AS34" i="3"/>
  <c r="AS36" i="3"/>
  <c r="AS38" i="3"/>
  <c r="AS40" i="3"/>
  <c r="AS42" i="3"/>
  <c r="AS44" i="3"/>
  <c r="AS46" i="3"/>
  <c r="AS48" i="3"/>
  <c r="S14" i="3"/>
  <c r="V48" i="3"/>
  <c r="V46" i="3"/>
  <c r="V44" i="3"/>
  <c r="V42" i="3"/>
  <c r="V40" i="3"/>
  <c r="V38" i="3"/>
  <c r="V36" i="3"/>
  <c r="V34" i="3"/>
  <c r="V32" i="3"/>
  <c r="V30" i="3"/>
  <c r="V28" i="3"/>
  <c r="V26" i="3"/>
  <c r="V24" i="3"/>
  <c r="V22" i="3"/>
  <c r="V20" i="3"/>
  <c r="V18" i="3"/>
  <c r="V16" i="3"/>
  <c r="Y14" i="3"/>
  <c r="AK14" i="3"/>
  <c r="X14" i="3"/>
  <c r="AP48" i="3"/>
  <c r="AJ48" i="3"/>
  <c r="AD48" i="3"/>
  <c r="X48" i="3"/>
  <c r="AP46" i="3"/>
  <c r="AJ46" i="3"/>
  <c r="AD46" i="3"/>
  <c r="X46" i="3"/>
  <c r="AP44" i="3"/>
  <c r="AJ44" i="3"/>
  <c r="AD44" i="3"/>
  <c r="X44" i="3"/>
  <c r="AP42" i="3"/>
  <c r="AJ42" i="3"/>
  <c r="AD42" i="3"/>
  <c r="X42" i="3"/>
  <c r="AP40" i="3"/>
  <c r="AJ40" i="3"/>
  <c r="AD40" i="3"/>
  <c r="X40" i="3"/>
  <c r="AP38" i="3"/>
  <c r="AJ38" i="3"/>
  <c r="AD38" i="3"/>
  <c r="X38" i="3"/>
  <c r="AP36" i="3"/>
  <c r="AJ36" i="3"/>
  <c r="AD36" i="3"/>
  <c r="X36" i="3"/>
  <c r="AP34" i="3"/>
  <c r="AJ34" i="3"/>
  <c r="AD34" i="3"/>
  <c r="X34" i="3"/>
  <c r="AJ32" i="3"/>
  <c r="X32" i="3"/>
  <c r="AP30" i="3"/>
  <c r="AD30" i="3"/>
  <c r="AJ28" i="3"/>
  <c r="X28" i="3"/>
  <c r="AP26" i="3"/>
  <c r="AD26" i="3"/>
  <c r="AJ24" i="3"/>
  <c r="X24" i="3"/>
  <c r="AP22" i="3"/>
  <c r="AD22" i="3"/>
  <c r="AJ20" i="3"/>
  <c r="X20" i="3"/>
  <c r="AP18" i="3"/>
  <c r="AD18" i="3"/>
  <c r="AJ16" i="3"/>
  <c r="X16" i="3"/>
  <c r="AT48" i="3"/>
  <c r="AT44" i="3"/>
  <c r="AT40" i="3"/>
  <c r="AT36" i="3"/>
  <c r="AT32" i="3"/>
  <c r="AT28" i="3"/>
  <c r="AT24" i="3"/>
  <c r="AT20" i="3"/>
  <c r="AT16" i="3"/>
  <c r="T12" i="4" l="1"/>
  <c r="D36" i="4"/>
  <c r="D32" i="4"/>
  <c r="D6" i="4"/>
  <c r="D12" i="4"/>
  <c r="G4" i="4"/>
  <c r="E21" i="4"/>
  <c r="D26" i="4"/>
  <c r="D22" i="4"/>
  <c r="D18" i="4"/>
  <c r="D10" i="4"/>
  <c r="D20" i="4"/>
  <c r="E24" i="4"/>
  <c r="E13" i="4"/>
  <c r="D29" i="4"/>
  <c r="E35" i="4"/>
  <c r="E23" i="4"/>
  <c r="E29" i="4"/>
  <c r="D8" i="4"/>
  <c r="D16" i="4"/>
  <c r="D35" i="4"/>
  <c r="E28" i="4"/>
  <c r="E36" i="4"/>
  <c r="D5" i="4"/>
  <c r="E5" i="4"/>
  <c r="D9" i="4"/>
  <c r="E9" i="4"/>
  <c r="D13" i="4"/>
  <c r="D17" i="4"/>
  <c r="E17" i="4"/>
  <c r="D21" i="4"/>
  <c r="E25" i="4"/>
  <c r="D25" i="4"/>
  <c r="E26" i="4"/>
  <c r="E30" i="4"/>
  <c r="E34" i="4"/>
  <c r="D7" i="4"/>
  <c r="E7" i="4"/>
  <c r="D11" i="4"/>
  <c r="E11" i="4"/>
  <c r="D15" i="4"/>
  <c r="E15" i="4"/>
  <c r="D19" i="4"/>
  <c r="E19" i="4"/>
  <c r="E27" i="4"/>
  <c r="D27" i="4"/>
  <c r="E31" i="4"/>
  <c r="E33" i="4"/>
  <c r="D33" i="4"/>
  <c r="E37" i="4"/>
  <c r="D37" i="4"/>
  <c r="E38" i="4"/>
  <c r="E6" i="4"/>
  <c r="E8" i="4"/>
  <c r="E10" i="4"/>
  <c r="E12" i="4"/>
  <c r="E14" i="4"/>
  <c r="E16" i="4"/>
  <c r="E18" i="4"/>
  <c r="E20" i="4"/>
  <c r="E22" i="4"/>
  <c r="D38" i="4"/>
  <c r="D34" i="4"/>
  <c r="D30" i="4"/>
  <c r="D28" i="4"/>
  <c r="D24" i="4"/>
  <c r="D14" i="4"/>
  <c r="D23" i="4"/>
  <c r="O26" i="4"/>
  <c r="Q38" i="4"/>
  <c r="O38" i="4"/>
  <c r="Q33" i="4"/>
  <c r="O32" i="4"/>
  <c r="P18" i="4"/>
  <c r="N8" i="4"/>
  <c r="T7" i="4"/>
  <c r="O28" i="4"/>
  <c r="L25" i="4"/>
  <c r="H32" i="4"/>
  <c r="Q30" i="4"/>
  <c r="B4" i="4"/>
  <c r="N35" i="4"/>
  <c r="H4" i="4"/>
  <c r="B18" i="4"/>
  <c r="N9" i="4"/>
  <c r="L34" i="4"/>
  <c r="R33" i="4"/>
  <c r="T27" i="4"/>
  <c r="J32" i="4"/>
  <c r="K17" i="4"/>
  <c r="S18" i="4"/>
  <c r="M37" i="4"/>
  <c r="S31" i="4"/>
  <c r="K33" i="4"/>
  <c r="B34" i="4"/>
  <c r="B10" i="4"/>
  <c r="R6" i="4"/>
  <c r="Q34" i="4"/>
  <c r="Q23" i="4"/>
  <c r="L13" i="4"/>
  <c r="O11" i="4"/>
  <c r="N19" i="4"/>
  <c r="F30" i="4"/>
  <c r="S7" i="4"/>
  <c r="P10" i="4"/>
  <c r="H24" i="4"/>
  <c r="B7" i="4"/>
  <c r="Q26" i="4"/>
  <c r="M14" i="4"/>
  <c r="S24" i="4"/>
  <c r="S27" i="4"/>
  <c r="Q10" i="4"/>
  <c r="Q35" i="4"/>
  <c r="T25" i="4"/>
  <c r="O19" i="4"/>
  <c r="N17" i="4"/>
  <c r="M31" i="4"/>
  <c r="R19" i="4"/>
  <c r="N13" i="4"/>
  <c r="O24" i="4"/>
  <c r="I37" i="4"/>
  <c r="I38" i="4"/>
  <c r="I5" i="4"/>
  <c r="A13" i="4"/>
  <c r="M23" i="4"/>
  <c r="N24" i="4"/>
  <c r="Q8" i="4"/>
  <c r="P17" i="4"/>
  <c r="J18" i="4"/>
  <c r="H22" i="4"/>
  <c r="J34" i="4"/>
  <c r="K19" i="4"/>
  <c r="T30" i="4"/>
  <c r="O30" i="4"/>
  <c r="L12" i="4"/>
  <c r="L37" i="4"/>
  <c r="H26" i="4"/>
  <c r="K16" i="4"/>
  <c r="I13" i="4"/>
  <c r="K7" i="4"/>
  <c r="Q27" i="4"/>
  <c r="J37" i="4"/>
  <c r="B15" i="4"/>
  <c r="K11" i="4"/>
  <c r="F36" i="4"/>
  <c r="J29" i="4"/>
  <c r="K15" i="4"/>
  <c r="I36" i="4"/>
  <c r="I21" i="4"/>
  <c r="T4" i="4"/>
  <c r="O34" i="4"/>
  <c r="Q4" i="4"/>
  <c r="M38" i="4"/>
  <c r="R38" i="4"/>
  <c r="O12" i="4"/>
  <c r="Q24" i="4"/>
  <c r="L18" i="4"/>
  <c r="L4" i="4"/>
  <c r="P27" i="4"/>
  <c r="O23" i="4"/>
  <c r="R17" i="4"/>
  <c r="P12" i="4"/>
  <c r="L16" i="4"/>
  <c r="S6" i="4"/>
  <c r="T8" i="4"/>
  <c r="Q28" i="4"/>
  <c r="M22" i="4"/>
  <c r="M20" i="4"/>
  <c r="O16" i="4"/>
  <c r="M10" i="4"/>
  <c r="M8" i="4"/>
  <c r="L38" i="4"/>
  <c r="S32" i="4"/>
  <c r="P32" i="4"/>
  <c r="L28" i="4"/>
  <c r="R7" i="4"/>
  <c r="S28" i="4"/>
  <c r="N26" i="4"/>
  <c r="N6" i="4"/>
  <c r="L35" i="4"/>
  <c r="T33" i="4"/>
  <c r="M33" i="4"/>
  <c r="P33" i="4"/>
  <c r="N31" i="4"/>
  <c r="L29" i="4"/>
  <c r="S25" i="4"/>
  <c r="O25" i="4"/>
  <c r="R11" i="4"/>
  <c r="T9" i="4"/>
  <c r="S10" i="4"/>
  <c r="T38" i="4"/>
  <c r="Q16" i="4"/>
  <c r="O36" i="4"/>
  <c r="M36" i="4"/>
  <c r="N32" i="4"/>
  <c r="R28" i="4"/>
  <c r="L26" i="4"/>
  <c r="M24" i="4"/>
  <c r="L22" i="4"/>
  <c r="P14" i="4"/>
  <c r="N14" i="4"/>
  <c r="P6" i="4"/>
  <c r="T24" i="4"/>
  <c r="P28" i="4"/>
  <c r="T28" i="4"/>
  <c r="O8" i="4"/>
  <c r="T32" i="4"/>
  <c r="S26" i="4"/>
  <c r="L24" i="4"/>
  <c r="S20" i="4"/>
  <c r="N37" i="4"/>
  <c r="M35" i="4"/>
  <c r="N33" i="4"/>
  <c r="N29" i="4"/>
  <c r="T29" i="4"/>
  <c r="R29" i="4"/>
  <c r="M27" i="4"/>
  <c r="R25" i="4"/>
  <c r="L21" i="4"/>
  <c r="P21" i="4"/>
  <c r="P19" i="4"/>
  <c r="S19" i="4"/>
  <c r="T17" i="4"/>
  <c r="S13" i="4"/>
  <c r="N11" i="4"/>
  <c r="L11" i="4"/>
  <c r="S9" i="4"/>
  <c r="R9" i="4"/>
  <c r="L7" i="4"/>
  <c r="L5" i="4"/>
  <c r="M5" i="4"/>
  <c r="S34" i="4"/>
  <c r="Q32" i="4"/>
  <c r="M30" i="4"/>
  <c r="R4" i="4"/>
  <c r="S22" i="4"/>
  <c r="T34" i="4"/>
  <c r="N20" i="4"/>
  <c r="P16" i="4"/>
  <c r="S4" i="4"/>
  <c r="T37" i="4"/>
  <c r="O37" i="4"/>
  <c r="T35" i="4"/>
  <c r="R35" i="4"/>
  <c r="S33" i="4"/>
  <c r="L31" i="4"/>
  <c r="Q29" i="4"/>
  <c r="O29" i="4"/>
  <c r="N25" i="4"/>
  <c r="Q25" i="4"/>
  <c r="T23" i="4"/>
  <c r="P23" i="4"/>
  <c r="R21" i="4"/>
  <c r="Q19" i="4"/>
  <c r="Q13" i="4"/>
  <c r="O7" i="4"/>
  <c r="N5" i="4"/>
  <c r="Q5" i="4"/>
  <c r="Q14" i="4"/>
  <c r="O14" i="4"/>
  <c r="Q6" i="4"/>
  <c r="R32" i="4"/>
  <c r="R26" i="4"/>
  <c r="N18" i="4"/>
  <c r="S38" i="4"/>
  <c r="L8" i="4"/>
  <c r="S36" i="4"/>
  <c r="R37" i="4"/>
  <c r="O33" i="4"/>
  <c r="R31" i="4"/>
  <c r="M25" i="4"/>
  <c r="S21" i="4"/>
  <c r="S15" i="4"/>
  <c r="P15" i="4"/>
  <c r="Q9" i="4"/>
  <c r="R14" i="4"/>
  <c r="S12" i="4"/>
  <c r="M4" i="4"/>
  <c r="L32" i="4"/>
  <c r="Q36" i="4"/>
  <c r="R30" i="4"/>
  <c r="M26" i="4"/>
  <c r="Q22" i="4"/>
  <c r="R20" i="4"/>
  <c r="L14" i="4"/>
  <c r="M12" i="4"/>
  <c r="N10" i="4"/>
  <c r="L6" i="4"/>
  <c r="N4" i="4"/>
  <c r="P24" i="4"/>
  <c r="T36" i="4"/>
  <c r="S14" i="4"/>
  <c r="P34" i="4"/>
  <c r="N30" i="4"/>
  <c r="P26" i="4"/>
  <c r="T26" i="4"/>
  <c r="N22" i="4"/>
  <c r="Q20" i="4"/>
  <c r="S16" i="4"/>
  <c r="Q12" i="4"/>
  <c r="P8" i="4"/>
  <c r="Q18" i="4"/>
  <c r="P37" i="4"/>
  <c r="P35" i="4"/>
  <c r="P31" i="4"/>
  <c r="P29" i="4"/>
  <c r="S29" i="4"/>
  <c r="N27" i="4"/>
  <c r="O27" i="4"/>
  <c r="N23" i="4"/>
  <c r="L23" i="4"/>
  <c r="M21" i="4"/>
  <c r="T19" i="4"/>
  <c r="L19" i="4"/>
  <c r="O17" i="4"/>
  <c r="M15" i="4"/>
  <c r="O15" i="4"/>
  <c r="P13" i="4"/>
  <c r="R13" i="4"/>
  <c r="O13" i="4"/>
  <c r="M11" i="4"/>
  <c r="T11" i="4"/>
  <c r="P7" i="4"/>
  <c r="Q7" i="4"/>
  <c r="P5" i="4"/>
  <c r="R5" i="4"/>
  <c r="T18" i="4"/>
  <c r="N28" i="4"/>
  <c r="T22" i="4"/>
  <c r="R36" i="4"/>
  <c r="N36" i="4"/>
  <c r="R34" i="4"/>
  <c r="N34" i="4"/>
  <c r="M32" i="4"/>
  <c r="L30" i="4"/>
  <c r="M28" i="4"/>
  <c r="R24" i="4"/>
  <c r="R22" i="4"/>
  <c r="P20" i="4"/>
  <c r="M18" i="4"/>
  <c r="M16" i="4"/>
  <c r="L10" i="4"/>
  <c r="M6" i="4"/>
  <c r="P4" i="4"/>
  <c r="O4" i="4"/>
  <c r="P36" i="4"/>
  <c r="T20" i="4"/>
  <c r="O20" i="4"/>
  <c r="S11" i="4"/>
  <c r="L36" i="4"/>
  <c r="P30" i="4"/>
  <c r="P22" i="4"/>
  <c r="L20" i="4"/>
  <c r="N16" i="4"/>
  <c r="R12" i="4"/>
  <c r="N12" i="4"/>
  <c r="R15" i="4"/>
  <c r="R16" i="4"/>
  <c r="R8" i="4"/>
  <c r="Q37" i="4"/>
  <c r="S37" i="4"/>
  <c r="S35" i="4"/>
  <c r="O35" i="4"/>
  <c r="L33" i="4"/>
  <c r="Q31" i="4"/>
  <c r="T31" i="4"/>
  <c r="O31" i="4"/>
  <c r="M29" i="4"/>
  <c r="L27" i="4"/>
  <c r="R27" i="4"/>
  <c r="P25" i="4"/>
  <c r="S23" i="4"/>
  <c r="R23" i="4"/>
  <c r="N21" i="4"/>
  <c r="T21" i="4"/>
  <c r="Q21" i="4"/>
  <c r="O21" i="4"/>
  <c r="M19" i="4"/>
  <c r="M17" i="4"/>
  <c r="L17" i="4"/>
  <c r="Q17" i="4"/>
  <c r="Q15" i="4"/>
  <c r="T15" i="4"/>
  <c r="L15" i="4"/>
  <c r="T13" i="4"/>
  <c r="M13" i="4"/>
  <c r="Q11" i="4"/>
  <c r="M9" i="4"/>
  <c r="O9" i="4"/>
  <c r="S5" i="4"/>
  <c r="T5" i="4"/>
  <c r="O5" i="4"/>
  <c r="R18" i="4"/>
  <c r="R10" i="4"/>
  <c r="T10" i="4"/>
  <c r="O6" i="4"/>
  <c r="B17" i="4"/>
  <c r="K4" i="4"/>
  <c r="AT22" i="3"/>
  <c r="J11" i="4"/>
  <c r="F38" i="4"/>
  <c r="A15" i="4"/>
  <c r="A33" i="4"/>
  <c r="K21" i="4"/>
  <c r="B5" i="4"/>
  <c r="I7" i="4"/>
  <c r="I23" i="4"/>
  <c r="J21" i="4"/>
  <c r="F9" i="4"/>
  <c r="C28" i="4"/>
  <c r="I4" i="4"/>
  <c r="K20" i="4"/>
  <c r="B38" i="4"/>
  <c r="G32" i="4"/>
  <c r="H27" i="4"/>
  <c r="I34" i="4"/>
  <c r="C11" i="4"/>
  <c r="A25" i="4"/>
  <c r="A9" i="4"/>
  <c r="H9" i="4"/>
  <c r="H35" i="4"/>
  <c r="K29" i="4"/>
  <c r="J27" i="4"/>
  <c r="J4" i="4"/>
  <c r="B28" i="4"/>
  <c r="K9" i="4"/>
  <c r="F7" i="4"/>
  <c r="B25" i="4"/>
  <c r="J13" i="4"/>
  <c r="J30" i="4"/>
  <c r="J38" i="4"/>
  <c r="C19" i="4"/>
  <c r="B22" i="4"/>
  <c r="I9" i="4"/>
  <c r="I16" i="4"/>
  <c r="H11" i="4"/>
  <c r="G30" i="4"/>
  <c r="G36" i="4"/>
  <c r="B16" i="4"/>
  <c r="B26" i="4"/>
  <c r="G35" i="4"/>
  <c r="G25" i="4"/>
  <c r="G17" i="4"/>
  <c r="I17" i="4"/>
  <c r="J31" i="4"/>
  <c r="G27" i="4"/>
  <c r="A11" i="4"/>
  <c r="I30" i="4"/>
  <c r="K25" i="4"/>
  <c r="I24" i="4"/>
  <c r="H25" i="4"/>
  <c r="I32" i="4"/>
  <c r="G24" i="4"/>
  <c r="G26" i="4"/>
  <c r="B35" i="4"/>
  <c r="C13" i="4"/>
  <c r="B33" i="4"/>
  <c r="G33" i="4"/>
  <c r="A27" i="4"/>
  <c r="C25" i="4"/>
  <c r="A31" i="4"/>
  <c r="G18" i="4"/>
  <c r="F17" i="4"/>
  <c r="H10" i="4"/>
  <c r="F12" i="4"/>
  <c r="C32" i="4"/>
  <c r="F33" i="4"/>
  <c r="C35" i="4"/>
  <c r="G37" i="4"/>
  <c r="H33" i="4"/>
  <c r="H23" i="4"/>
  <c r="A19" i="4"/>
  <c r="G11" i="4"/>
  <c r="I26" i="4"/>
  <c r="J14" i="4"/>
  <c r="J35" i="4"/>
  <c r="A35" i="4"/>
  <c r="K35" i="4"/>
  <c r="B29" i="4"/>
  <c r="G29" i="4"/>
  <c r="B21" i="4"/>
  <c r="G13" i="4"/>
  <c r="C9" i="4"/>
  <c r="G10" i="4"/>
  <c r="A23" i="4"/>
  <c r="G23" i="4"/>
  <c r="J25" i="4"/>
  <c r="G14" i="4"/>
  <c r="I8" i="4"/>
  <c r="H31" i="4"/>
  <c r="F27" i="4"/>
  <c r="I15" i="4"/>
  <c r="C24" i="4"/>
  <c r="F6" i="4"/>
  <c r="C29" i="4"/>
  <c r="A17" i="4"/>
  <c r="F28" i="4"/>
  <c r="C12" i="4"/>
  <c r="G34" i="4"/>
  <c r="C37" i="4"/>
  <c r="H6" i="4"/>
  <c r="D4" i="4"/>
  <c r="G16" i="4"/>
  <c r="G8" i="4"/>
  <c r="K31" i="4"/>
  <c r="H19" i="4"/>
  <c r="F13" i="4"/>
  <c r="J9" i="4"/>
  <c r="B12" i="4"/>
  <c r="I28" i="4"/>
  <c r="B24" i="4"/>
  <c r="B8" i="4"/>
  <c r="H38" i="4"/>
  <c r="G6" i="4"/>
  <c r="F15" i="4"/>
  <c r="I25" i="4"/>
  <c r="J17" i="4"/>
  <c r="H8" i="4"/>
  <c r="I10" i="4"/>
  <c r="J7" i="4"/>
  <c r="H29" i="4"/>
  <c r="H5" i="4"/>
  <c r="I20" i="4"/>
  <c r="I12" i="4"/>
  <c r="G22" i="4"/>
  <c r="J19" i="4"/>
  <c r="F25" i="4"/>
  <c r="F21" i="4"/>
  <c r="H13" i="4"/>
  <c r="J5" i="4"/>
  <c r="F31" i="4"/>
  <c r="I11" i="4"/>
  <c r="H17" i="4"/>
  <c r="I33" i="4"/>
  <c r="B20" i="4"/>
  <c r="K5" i="4"/>
  <c r="J8" i="4"/>
  <c r="J16" i="4"/>
  <c r="F26" i="4"/>
  <c r="F32" i="4"/>
  <c r="I18" i="4"/>
  <c r="F11" i="4"/>
  <c r="G7" i="4"/>
  <c r="G28" i="4"/>
  <c r="F20" i="4"/>
  <c r="F24" i="4"/>
  <c r="K32" i="4"/>
  <c r="K24" i="4"/>
  <c r="K14" i="4"/>
  <c r="J10" i="4"/>
  <c r="C16" i="4"/>
  <c r="C21" i="4"/>
  <c r="A18" i="4"/>
  <c r="H37" i="4"/>
  <c r="B37" i="4"/>
  <c r="K37" i="4"/>
  <c r="C31" i="4"/>
  <c r="B31" i="4"/>
  <c r="B27" i="4"/>
  <c r="I27" i="4"/>
  <c r="C23" i="4"/>
  <c r="J23" i="4"/>
  <c r="B23" i="4"/>
  <c r="F23" i="4"/>
  <c r="G19" i="4"/>
  <c r="I19" i="4"/>
  <c r="F19" i="4"/>
  <c r="J15" i="4"/>
  <c r="C7" i="4"/>
  <c r="H7" i="4"/>
  <c r="F14" i="4"/>
  <c r="A20" i="4"/>
  <c r="B30" i="4"/>
  <c r="J26" i="4"/>
  <c r="F22" i="4"/>
  <c r="C22" i="4"/>
  <c r="F18" i="4"/>
  <c r="B6" i="4"/>
  <c r="C4" i="4"/>
  <c r="B36" i="4"/>
  <c r="A28" i="4"/>
  <c r="I35" i="4"/>
  <c r="B13" i="4"/>
  <c r="G9" i="4"/>
  <c r="C5" i="4"/>
  <c r="A5" i="4"/>
  <c r="F5" i="4"/>
  <c r="C36" i="4"/>
  <c r="B32" i="4"/>
  <c r="J24" i="4"/>
  <c r="H16" i="4"/>
  <c r="F16" i="4"/>
  <c r="H28" i="4"/>
  <c r="H30" i="4"/>
  <c r="H34" i="4"/>
  <c r="C20" i="4"/>
  <c r="K30" i="4"/>
  <c r="I22" i="4"/>
  <c r="G20" i="4"/>
  <c r="I14" i="4"/>
  <c r="G12" i="4"/>
  <c r="K8" i="4"/>
  <c r="I6" i="4"/>
  <c r="H14" i="4"/>
  <c r="G38" i="4"/>
  <c r="C27" i="4"/>
  <c r="A21" i="4"/>
  <c r="F37" i="4"/>
  <c r="J33" i="4"/>
  <c r="C33" i="4"/>
  <c r="G31" i="4"/>
  <c r="I31" i="4"/>
  <c r="K27" i="4"/>
  <c r="K23" i="4"/>
  <c r="C15" i="4"/>
  <c r="H15" i="4"/>
  <c r="J22" i="4"/>
  <c r="H18" i="4"/>
  <c r="B14" i="4"/>
  <c r="F10" i="4"/>
  <c r="J6" i="4"/>
  <c r="C8" i="4"/>
  <c r="A7" i="4"/>
  <c r="F35" i="4"/>
  <c r="F29" i="4"/>
  <c r="A29" i="4"/>
  <c r="G21" i="4"/>
  <c r="H21" i="4"/>
  <c r="C17" i="4"/>
  <c r="K13" i="4"/>
  <c r="B9" i="4"/>
  <c r="G5" i="4"/>
  <c r="A32" i="4"/>
  <c r="K22" i="4"/>
  <c r="K6" i="4"/>
  <c r="J12" i="4"/>
  <c r="F8" i="4"/>
  <c r="G15" i="4"/>
  <c r="A16" i="4"/>
  <c r="H12" i="4"/>
  <c r="E4" i="4"/>
  <c r="K36" i="4"/>
  <c r="K28" i="4"/>
  <c r="K18" i="4"/>
  <c r="K10" i="4"/>
  <c r="A26" i="4"/>
  <c r="B11" i="4"/>
  <c r="F34" i="4"/>
  <c r="C6" i="4"/>
  <c r="A12" i="4"/>
  <c r="I29" i="4"/>
  <c r="A36" i="4"/>
  <c r="J36" i="4"/>
  <c r="J28" i="4"/>
  <c r="C18" i="4"/>
  <c r="A14" i="4"/>
  <c r="K38" i="4"/>
  <c r="C26" i="4"/>
  <c r="A22" i="4"/>
  <c r="C10" i="4"/>
  <c r="H20" i="4"/>
  <c r="K34" i="4"/>
  <c r="K26" i="4"/>
  <c r="C38" i="4"/>
  <c r="A10" i="4"/>
  <c r="A34" i="4"/>
  <c r="B19" i="4"/>
  <c r="A30" i="4"/>
  <c r="C30" i="4"/>
  <c r="C14" i="4"/>
  <c r="A6" i="4"/>
  <c r="C34" i="4"/>
  <c r="H36" i="4"/>
  <c r="A24" i="4"/>
  <c r="J20" i="4"/>
  <c r="A8" i="4"/>
  <c r="K12" i="4" l="1"/>
</calcChain>
</file>

<file path=xl/sharedStrings.xml><?xml version="1.0" encoding="utf-8"?>
<sst xmlns="http://schemas.openxmlformats.org/spreadsheetml/2006/main" count="103" uniqueCount="80">
  <si>
    <t>Instructions for the Users:</t>
  </si>
  <si>
    <t>local radius [m]</t>
  </si>
  <si>
    <t>chord length [m]</t>
  </si>
  <si>
    <t>Twist [deg]</t>
  </si>
  <si>
    <t>Insert your values</t>
  </si>
  <si>
    <t>What's going on in the sheet?</t>
  </si>
  <si>
    <t>1. The cylinder/airfoil profile has been translated to locate the center of the airfoil chord  at the origin (cells (J,k) and (O,P))</t>
  </si>
  <si>
    <t>2. Airfoil/cylinder has been scaled up by the factor of the chord length/diameter, transformed to [mm], and the coordinates are now rotated about the origin by the respective twist angle (from cell R on)</t>
  </si>
  <si>
    <t>3. The coordinates are put together, along with the Z coordinate, which is the local radius, separated by commas (in next sheet "3-Data to be imported to Fusion"). Those are the data you will import to Fusion360 when you will start with your CAD design</t>
  </si>
  <si>
    <t>Section 1: cylinder</t>
  </si>
  <si>
    <t>Other sections: airfoil</t>
  </si>
  <si>
    <t>Section1 (cylinder)</t>
  </si>
  <si>
    <t>Section 2</t>
  </si>
  <si>
    <t>Section 3</t>
  </si>
  <si>
    <t>Section 4</t>
  </si>
  <si>
    <t>Section 5</t>
  </si>
  <si>
    <t>Section 6</t>
  </si>
  <si>
    <t>Section 7</t>
  </si>
  <si>
    <t>Section 8</t>
  </si>
  <si>
    <t>Section 9</t>
  </si>
  <si>
    <t>Section 10</t>
  </si>
  <si>
    <t>Section 11</t>
  </si>
  <si>
    <t>Section 12</t>
  </si>
  <si>
    <t>Section 13</t>
  </si>
  <si>
    <t>Section 14</t>
  </si>
  <si>
    <t>Section 15</t>
  </si>
  <si>
    <t>Section 16</t>
  </si>
  <si>
    <t>Section 17</t>
  </si>
  <si>
    <t>Section 18</t>
  </si>
  <si>
    <t>x/c</t>
  </si>
  <si>
    <t>y/c</t>
  </si>
  <si>
    <t>Translated x/c</t>
  </si>
  <si>
    <t>Translated y/c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</si>
  <si>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</si>
  <si>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</si>
  <si>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</si>
  <si>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</si>
  <si>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</si>
  <si>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</si>
  <si>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</si>
  <si>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</si>
  <si>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</si>
  <si>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</si>
  <si>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</si>
  <si>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</si>
  <si>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</si>
  <si>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</si>
  <si>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</si>
  <si>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</si>
  <si>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</si>
  <si>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</si>
  <si>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</si>
  <si>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</si>
  <si>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</si>
  <si>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</si>
  <si>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</si>
  <si>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</si>
  <si>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</si>
  <si>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</si>
  <si>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</si>
  <si>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</si>
  <si>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</si>
  <si>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</si>
  <si>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</si>
  <si>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</si>
  <si>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</si>
  <si>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</si>
  <si>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</si>
  <si>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</si>
  <si>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</si>
  <si>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</si>
  <si>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</si>
  <si>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</si>
  <si>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The concatenation is done in this sheet. You need to add columns if you have more sections.</t>
  </si>
  <si>
    <t>Section 1</t>
  </si>
  <si>
    <t>Section 19</t>
  </si>
  <si>
    <t>Section 20</t>
  </si>
  <si>
    <t>1. Copy paste your values of local radius, chord length and twist angle from Excel file attached to Assignment 4 'Adjust blade geometry_Fall26' (cells A to C)</t>
  </si>
  <si>
    <t>2. Copy the relative coordinates (i.e. x/c and y/c) in the designated columns (cells J and K)</t>
  </si>
  <si>
    <t>3. If the number of coordinates for your airfoil is more than the table marked below, extend the columns named 'Translated x/c', 'Translated y/c', 'Section 2' and so on upto the same number of rows as your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</si>
</sst>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" xfId="0" applyFont="1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13" xfId="0" applyFont="1" applyBorder="1"/>
    <xf numFmtId="0" fontId="0" fillId="0" borderId="0" xfId="0" applyAlignment="1">
      <alignment horizontal="right"/>
    </xf>
    <xf numFmtId="0" fontId="0" fillId="0" borderId="17" xfId="0" applyBorder="1"/>
    <xf numFmtId="0" fontId="3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0" fillId="2" borderId="0" xfId="0" applyFill="1"/>
    <xf numFmtId="164" fontId="0" fillId="0" borderId="0" xfId="0" applyNumberFormat="1"/>
    <xf numFmtId="0" fontId="0" fillId="0" borderId="25" xfId="0" applyBorder="1"/>
    <xf numFmtId="2" fontId="1" fillId="0" borderId="0" xfId="0" applyNumberFormat="1" applyFont="1" applyAlignment="1">
      <alignment vertical="center" wrapText="1"/>
    </xf>
    <xf numFmtId="0" fontId="0" fillId="0" borderId="26" xfId="0" applyBorder="1"/>
    <xf numFmtId="0" fontId="0" fillId="0" borderId="27" xfId="0" applyBorder="1"/>
    <xf numFmtId="164" fontId="1" fillId="0" borderId="4" xfId="0" applyNumberFormat="1" applyFont="1" applyBorder="1" applyAlignment="1">
      <alignment vertical="center" wrapText="1"/>
    </xf>
    <xf numFmtId="164" fontId="0" fillId="0" borderId="4" xfId="0" applyNumberFormat="1" applyBorder="1"/>
    <xf numFmtId="164" fontId="0" fillId="0" borderId="6" xfId="0" applyNumberFormat="1" applyBorder="1"/>
    <xf numFmtId="0" fontId="0" fillId="0" borderId="24" xfId="0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30" xfId="0" applyBorder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5" xfId="0" applyFont="1" applyBorder="1"/>
    <xf numFmtId="0" fontId="0" fillId="2" borderId="8" xfId="0" applyFill="1" applyBorder="1"/>
    <xf numFmtId="0" fontId="0" fillId="2" borderId="34" xfId="0" applyFill="1" applyBorder="1"/>
    <xf numFmtId="0" fontId="0" fillId="2" borderId="4" xfId="0" applyFill="1" applyBorder="1"/>
    <xf numFmtId="0" fontId="0" fillId="2" borderId="28" xfId="0" applyFill="1" applyBorder="1"/>
    <xf numFmtId="0" fontId="0" fillId="2" borderId="6" xfId="0" applyFill="1" applyBorder="1"/>
    <xf numFmtId="0" fontId="0" fillId="2" borderId="29" xfId="0" applyFill="1" applyBorder="1"/>
    <xf numFmtId="0" fontId="3" fillId="0" borderId="36" xfId="0" applyFont="1" applyBorder="1"/>
    <xf numFmtId="0" fontId="3" fillId="0" borderId="37" xfId="0" applyFont="1" applyBorder="1"/>
    <xf numFmtId="0" fontId="0" fillId="0" borderId="2" xfId="0" applyBorder="1"/>
    <xf numFmtId="0" fontId="0" fillId="0" borderId="3" xfId="0" applyBorder="1"/>
    <xf numFmtId="0" fontId="3" fillId="0" borderId="23" xfId="0" applyFont="1" applyBorder="1"/>
    <xf numFmtId="0" fontId="0" fillId="0" borderId="38" xfId="0" applyBorder="1"/>
    <xf numFmtId="0" fontId="0" fillId="0" borderId="39" xfId="0" applyBorder="1"/>
    <xf numFmtId="0" fontId="0" fillId="2" borderId="0" xfId="0" applyFill="1" applyAlignment="1">
      <alignment horizontal="right"/>
    </xf>
    <xf numFmtId="0" fontId="3" fillId="3" borderId="40" xfId="0" applyFont="1" applyFill="1" applyBorder="1"/>
    <xf numFmtId="0" fontId="0" fillId="3" borderId="18" xfId="0" applyFill="1" applyBorder="1"/>
    <xf numFmtId="0" fontId="0" fillId="3" borderId="13" xfId="0" applyFill="1" applyBorder="1"/>
    <xf numFmtId="0" fontId="3" fillId="4" borderId="40" xfId="0" applyFont="1" applyFill="1" applyBorder="1"/>
    <xf numFmtId="0" fontId="0" fillId="4" borderId="18" xfId="0" applyFill="1" applyBorder="1"/>
    <xf numFmtId="0" fontId="0" fillId="4" borderId="13" xfId="0" applyFill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Airfoil (other blade sections)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'1-Blade sections'!$J$14:$J$48</c:f>
              <c:numCache>
                <c:formatCode>General</c:formatCode>
                <c:ptCount val="35"/>
                <c:pt idx="0">
                  <c:v>1</c:v>
                </c:pt>
                <c:pt idx="1">
                  <c:v>0.95</c:v>
                </c:pt>
                <c:pt idx="2">
                  <c:v>0.9</c:v>
                </c:pt>
                <c:pt idx="3">
                  <c:v>0.8</c:v>
                </c:pt>
                <c:pt idx="4">
                  <c:v>0.7</c:v>
                </c:pt>
                <c:pt idx="5">
                  <c:v>0.6</c:v>
                </c:pt>
                <c:pt idx="6">
                  <c:v>0.5</c:v>
                </c:pt>
                <c:pt idx="7">
                  <c:v>0.4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7.4999999999999997E-2</c:v>
                </c:pt>
                <c:pt idx="14">
                  <c:v>0.05</c:v>
                </c:pt>
                <c:pt idx="15">
                  <c:v>2.5000000000000001E-2</c:v>
                </c:pt>
                <c:pt idx="16">
                  <c:v>1.2500000000000001E-2</c:v>
                </c:pt>
                <c:pt idx="17">
                  <c:v>0</c:v>
                </c:pt>
                <c:pt idx="18">
                  <c:v>1.2500000000000001E-2</c:v>
                </c:pt>
                <c:pt idx="19">
                  <c:v>2.5000000000000001E-2</c:v>
                </c:pt>
                <c:pt idx="20">
                  <c:v>0.05</c:v>
                </c:pt>
                <c:pt idx="21">
                  <c:v>7.4999999999999997E-2</c:v>
                </c:pt>
                <c:pt idx="22">
                  <c:v>0.1</c:v>
                </c:pt>
                <c:pt idx="23">
                  <c:v>0.15</c:v>
                </c:pt>
                <c:pt idx="24">
                  <c:v>0.2</c:v>
                </c:pt>
                <c:pt idx="25">
                  <c:v>0.25</c:v>
                </c:pt>
                <c:pt idx="26">
                  <c:v>0.3</c:v>
                </c:pt>
                <c:pt idx="27">
                  <c:v>0.4</c:v>
                </c:pt>
                <c:pt idx="28">
                  <c:v>0.5</c:v>
                </c:pt>
                <c:pt idx="29">
                  <c:v>0.6</c:v>
                </c:pt>
                <c:pt idx="30">
                  <c:v>0.7</c:v>
                </c:pt>
                <c:pt idx="31">
                  <c:v>0.8</c:v>
                </c:pt>
                <c:pt idx="32">
                  <c:v>0.9</c:v>
                </c:pt>
                <c:pt idx="33">
                  <c:v>0.95</c:v>
                </c:pt>
                <c:pt idx="34">
                  <c:v>1</c:v>
                </c:pt>
              </c:numCache>
            </c:numRef>
          </c:xVal>
          <c:yVal>
            <c:numRef>
              <c:f>'1-Blade sections'!$K$14:$K$48</c:f>
              <c:numCache>
                <c:formatCode>General</c:formatCode>
                <c:ptCount val="35"/>
                <c:pt idx="0">
                  <c:v>1.6000000000000001E-3</c:v>
                </c:pt>
                <c:pt idx="1">
                  <c:v>1.12E-2</c:v>
                </c:pt>
                <c:pt idx="2">
                  <c:v>2.0400000000000001E-2</c:v>
                </c:pt>
                <c:pt idx="3">
                  <c:v>3.73E-2</c:v>
                </c:pt>
                <c:pt idx="4">
                  <c:v>5.2499999999999998E-2</c:v>
                </c:pt>
                <c:pt idx="5">
                  <c:v>6.6100000000000006E-2</c:v>
                </c:pt>
                <c:pt idx="6">
                  <c:v>7.7399999999999997E-2</c:v>
                </c:pt>
                <c:pt idx="7">
                  <c:v>8.5900000000000004E-2</c:v>
                </c:pt>
                <c:pt idx="8">
                  <c:v>9.0499999999999997E-2</c:v>
                </c:pt>
                <c:pt idx="9">
                  <c:v>9.0800000000000006E-2</c:v>
                </c:pt>
                <c:pt idx="10">
                  <c:v>8.9200000000000002E-2</c:v>
                </c:pt>
                <c:pt idx="11">
                  <c:v>8.5199999999999998E-2</c:v>
                </c:pt>
                <c:pt idx="12">
                  <c:v>7.6399999999999996E-2</c:v>
                </c:pt>
                <c:pt idx="13">
                  <c:v>6.9000000000000006E-2</c:v>
                </c:pt>
                <c:pt idx="14">
                  <c:v>5.8900000000000001E-2</c:v>
                </c:pt>
                <c:pt idx="15">
                  <c:v>4.4400000000000002E-2</c:v>
                </c:pt>
                <c:pt idx="16">
                  <c:v>3.3399999999999999E-2</c:v>
                </c:pt>
                <c:pt idx="17">
                  <c:v>0</c:v>
                </c:pt>
                <c:pt idx="18">
                  <c:v>-1.54E-2</c:v>
                </c:pt>
                <c:pt idx="19">
                  <c:v>-2.2499999999999999E-2</c:v>
                </c:pt>
                <c:pt idx="20">
                  <c:v>-3.04E-2</c:v>
                </c:pt>
                <c:pt idx="21">
                  <c:v>-3.61E-2</c:v>
                </c:pt>
                <c:pt idx="22">
                  <c:v>-4.0899999999999999E-2</c:v>
                </c:pt>
                <c:pt idx="23">
                  <c:v>-4.8399999999999999E-2</c:v>
                </c:pt>
                <c:pt idx="24">
                  <c:v>-5.4100000000000002E-2</c:v>
                </c:pt>
                <c:pt idx="25">
                  <c:v>-5.7799999999999997E-2</c:v>
                </c:pt>
                <c:pt idx="26">
                  <c:v>-5.96E-2</c:v>
                </c:pt>
                <c:pt idx="27">
                  <c:v>-5.9200000000000003E-2</c:v>
                </c:pt>
                <c:pt idx="28">
                  <c:v>-5.5E-2</c:v>
                </c:pt>
                <c:pt idx="29">
                  <c:v>-4.8099999999999997E-2</c:v>
                </c:pt>
                <c:pt idx="30">
                  <c:v>-3.9100000000000003E-2</c:v>
                </c:pt>
                <c:pt idx="31">
                  <c:v>-2.8299999999999999E-2</c:v>
                </c:pt>
                <c:pt idx="32">
                  <c:v>-1.5900000000000001E-2</c:v>
                </c:pt>
                <c:pt idx="33">
                  <c:v>-8.9999999999999993E-3</c:v>
                </c:pt>
                <c:pt idx="34">
                  <c:v>-1.6000000000000001E-3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23-404E-90D6-6CD20234BB6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'1-Blade sections'!$L$14:$L$48</c:f>
              <c:numCache>
                <c:formatCode>General</c:formatCode>
                <c:ptCount val="35"/>
                <c:pt idx="0">
                  <c:v>0.5</c:v>
                </c:pt>
                <c:pt idx="1">
                  <c:v>0.44999999999999996</c:v>
                </c:pt>
                <c:pt idx="2">
                  <c:v>0.4</c:v>
                </c:pt>
                <c:pt idx="3">
                  <c:v>0.30000000000000004</c:v>
                </c:pt>
                <c:pt idx="4">
                  <c:v>0.19999999999999996</c:v>
                </c:pt>
                <c:pt idx="5">
                  <c:v>9.9999999999999978E-2</c:v>
                </c:pt>
                <c:pt idx="6">
                  <c:v>0</c:v>
                </c:pt>
                <c:pt idx="7">
                  <c:v>-9.9999999999999978E-2</c:v>
                </c:pt>
                <c:pt idx="8">
                  <c:v>-0.2</c:v>
                </c:pt>
                <c:pt idx="9">
                  <c:v>-0.25</c:v>
                </c:pt>
                <c:pt idx="10">
                  <c:v>-0.3</c:v>
                </c:pt>
                <c:pt idx="11">
                  <c:v>-0.35</c:v>
                </c:pt>
                <c:pt idx="12">
                  <c:v>-0.4</c:v>
                </c:pt>
                <c:pt idx="13">
                  <c:v>-0.42499999999999999</c:v>
                </c:pt>
                <c:pt idx="14">
                  <c:v>-0.45</c:v>
                </c:pt>
                <c:pt idx="15">
                  <c:v>-0.47499999999999998</c:v>
                </c:pt>
                <c:pt idx="16">
                  <c:v>-0.48749999999999999</c:v>
                </c:pt>
                <c:pt idx="17">
                  <c:v>-0.5</c:v>
                </c:pt>
                <c:pt idx="18">
                  <c:v>-0.48749999999999999</c:v>
                </c:pt>
                <c:pt idx="19">
                  <c:v>-0.47499999999999998</c:v>
                </c:pt>
                <c:pt idx="20">
                  <c:v>-0.45</c:v>
                </c:pt>
                <c:pt idx="21">
                  <c:v>-0.42499999999999999</c:v>
                </c:pt>
                <c:pt idx="22">
                  <c:v>-0.4</c:v>
                </c:pt>
                <c:pt idx="23">
                  <c:v>-0.35</c:v>
                </c:pt>
                <c:pt idx="24">
                  <c:v>-0.3</c:v>
                </c:pt>
                <c:pt idx="25">
                  <c:v>-0.25</c:v>
                </c:pt>
                <c:pt idx="26">
                  <c:v>-0.2</c:v>
                </c:pt>
                <c:pt idx="27">
                  <c:v>-9.9999999999999978E-2</c:v>
                </c:pt>
                <c:pt idx="28">
                  <c:v>0</c:v>
                </c:pt>
                <c:pt idx="29">
                  <c:v>9.9999999999999978E-2</c:v>
                </c:pt>
                <c:pt idx="30">
                  <c:v>0.19999999999999996</c:v>
                </c:pt>
                <c:pt idx="31">
                  <c:v>0.30000000000000004</c:v>
                </c:pt>
                <c:pt idx="32">
                  <c:v>0.4</c:v>
                </c:pt>
                <c:pt idx="33">
                  <c:v>0.44999999999999996</c:v>
                </c:pt>
                <c:pt idx="34">
                  <c:v>0.5</c:v>
                </c:pt>
              </c:numCache>
            </c:numRef>
          </c:xVal>
          <c:yVal>
            <c:numRef>
              <c:f>'1-Blade sections'!$M$14:$M$48</c:f>
              <c:numCache>
                <c:formatCode>General</c:formatCode>
                <c:ptCount val="35"/>
                <c:pt idx="0">
                  <c:v>8.0000000000000004E-4</c:v>
                </c:pt>
                <c:pt idx="1">
                  <c:v>1.04E-2</c:v>
                </c:pt>
                <c:pt idx="2">
                  <c:v>1.9600000000000003E-2</c:v>
                </c:pt>
                <c:pt idx="3">
                  <c:v>3.6499999999999998E-2</c:v>
                </c:pt>
                <c:pt idx="4">
                  <c:v>5.1699999999999996E-2</c:v>
                </c:pt>
                <c:pt idx="5">
                  <c:v>6.5300000000000011E-2</c:v>
                </c:pt>
                <c:pt idx="6">
                  <c:v>7.6600000000000001E-2</c:v>
                </c:pt>
                <c:pt idx="7">
                  <c:v>8.5100000000000009E-2</c:v>
                </c:pt>
                <c:pt idx="8">
                  <c:v>8.9700000000000002E-2</c:v>
                </c:pt>
                <c:pt idx="9">
                  <c:v>9.0000000000000011E-2</c:v>
                </c:pt>
                <c:pt idx="10">
                  <c:v>8.8400000000000006E-2</c:v>
                </c:pt>
                <c:pt idx="11">
                  <c:v>8.4400000000000003E-2</c:v>
                </c:pt>
                <c:pt idx="12">
                  <c:v>7.5600000000000001E-2</c:v>
                </c:pt>
                <c:pt idx="13">
                  <c:v>6.8200000000000011E-2</c:v>
                </c:pt>
                <c:pt idx="14">
                  <c:v>5.8099999999999999E-2</c:v>
                </c:pt>
                <c:pt idx="15">
                  <c:v>4.36E-2</c:v>
                </c:pt>
                <c:pt idx="16">
                  <c:v>3.2599999999999997E-2</c:v>
                </c:pt>
                <c:pt idx="17">
                  <c:v>-8.0000000000000004E-4</c:v>
                </c:pt>
                <c:pt idx="18">
                  <c:v>-1.6199999999999999E-2</c:v>
                </c:pt>
                <c:pt idx="19">
                  <c:v>-2.3299999999999998E-2</c:v>
                </c:pt>
                <c:pt idx="20">
                  <c:v>-3.1199999999999999E-2</c:v>
                </c:pt>
                <c:pt idx="21">
                  <c:v>-3.6900000000000002E-2</c:v>
                </c:pt>
                <c:pt idx="22">
                  <c:v>-4.1700000000000001E-2</c:v>
                </c:pt>
                <c:pt idx="23">
                  <c:v>-4.9200000000000001E-2</c:v>
                </c:pt>
                <c:pt idx="24">
                  <c:v>-5.4900000000000004E-2</c:v>
                </c:pt>
                <c:pt idx="25">
                  <c:v>-5.8599999999999999E-2</c:v>
                </c:pt>
                <c:pt idx="26">
                  <c:v>-6.0400000000000002E-2</c:v>
                </c:pt>
                <c:pt idx="27">
                  <c:v>-6.0000000000000005E-2</c:v>
                </c:pt>
                <c:pt idx="28">
                  <c:v>-5.5800000000000002E-2</c:v>
                </c:pt>
                <c:pt idx="29">
                  <c:v>-4.8899999999999999E-2</c:v>
                </c:pt>
                <c:pt idx="30">
                  <c:v>-3.9900000000000005E-2</c:v>
                </c:pt>
                <c:pt idx="31">
                  <c:v>-2.9099999999999997E-2</c:v>
                </c:pt>
                <c:pt idx="32">
                  <c:v>-1.67E-2</c:v>
                </c:pt>
                <c:pt idx="33">
                  <c:v>-9.7999999999999997E-3</c:v>
                </c:pt>
                <c:pt idx="34">
                  <c:v>-2.4000000000000002E-3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23-404E-90D6-6CD20234B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028768"/>
        <c:axId val="1090029128"/>
      </c:scatterChart>
      <c:valAx>
        <c:axId val="109002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090029128"/>
        <c:crosses val="autoZero"/>
        <c:crossBetween val="midCat"/>
      </c:valAx>
      <c:valAx>
        <c:axId val="109002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09002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Cylinder</a:t>
            </a:r>
            <a:r>
              <a:rPr lang="en-GB" baseline="0"/>
              <a:t> (section 1)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'1-Blade sections'!$E$14:$E$46</c:f>
              <c:numCache>
                <c:formatCode>0.0000</c:formatCode>
                <c:ptCount val="33"/>
                <c:pt idx="0">
                  <c:v>1</c:v>
                </c:pt>
                <c:pt idx="1">
                  <c:v>0.99080999999999997</c:v>
                </c:pt>
                <c:pt idx="2">
                  <c:v>0.96358999999999995</c:v>
                </c:pt>
                <c:pt idx="3">
                  <c:v>0.91934000000000005</c:v>
                </c:pt>
                <c:pt idx="4">
                  <c:v>0.85967000000000005</c:v>
                </c:pt>
                <c:pt idx="5">
                  <c:v>0.78678999999999999</c:v>
                </c:pt>
                <c:pt idx="6">
                  <c:v>0.70337000000000005</c:v>
                </c:pt>
                <c:pt idx="7">
                  <c:v>0.61248000000000002</c:v>
                </c:pt>
                <c:pt idx="8">
                  <c:v>0.51744999999999997</c:v>
                </c:pt>
                <c:pt idx="9">
                  <c:v>0.42177999999999999</c:v>
                </c:pt>
                <c:pt idx="10">
                  <c:v>0.32899</c:v>
                </c:pt>
                <c:pt idx="11">
                  <c:v>0.24248</c:v>
                </c:pt>
                <c:pt idx="12">
                  <c:v>0.16542999999999999</c:v>
                </c:pt>
                <c:pt idx="13">
                  <c:v>0.10068000000000001</c:v>
                </c:pt>
                <c:pt idx="14">
                  <c:v>5.0599999999999999E-2</c:v>
                </c:pt>
                <c:pt idx="15">
                  <c:v>1.704E-2</c:v>
                </c:pt>
                <c:pt idx="16">
                  <c:v>1.2199999999999999E-3</c:v>
                </c:pt>
                <c:pt idx="17">
                  <c:v>3.7299999999999998E-3</c:v>
                </c:pt>
                <c:pt idx="18">
                  <c:v>2.4469999999999999E-2</c:v>
                </c:pt>
                <c:pt idx="19">
                  <c:v>6.2689999999999996E-2</c:v>
                </c:pt>
                <c:pt idx="20">
                  <c:v>0.11698</c:v>
                </c:pt>
                <c:pt idx="21">
                  <c:v>0.18534</c:v>
                </c:pt>
                <c:pt idx="22">
                  <c:v>0.26526</c:v>
                </c:pt>
                <c:pt idx="23">
                  <c:v>0.35381000000000001</c:v>
                </c:pt>
                <c:pt idx="24">
                  <c:v>0.44774000000000003</c:v>
                </c:pt>
                <c:pt idx="25">
                  <c:v>0.54357999999999995</c:v>
                </c:pt>
                <c:pt idx="26">
                  <c:v>0.63782000000000005</c:v>
                </c:pt>
                <c:pt idx="27">
                  <c:v>0.72699999999999998</c:v>
                </c:pt>
                <c:pt idx="28">
                  <c:v>0.80783000000000005</c:v>
                </c:pt>
                <c:pt idx="29">
                  <c:v>0.87734999999999996</c:v>
                </c:pt>
                <c:pt idx="30">
                  <c:v>0.93301000000000001</c:v>
                </c:pt>
                <c:pt idx="31">
                  <c:v>0.97275999999999996</c:v>
                </c:pt>
                <c:pt idx="32">
                  <c:v>0.99512999999999996</c:v>
                </c:pt>
              </c:numCache>
            </c:numRef>
          </c:xVal>
          <c:yVal>
            <c:numRef>
              <c:f>'1-Blade sections'!$F$14:$F$46</c:f>
              <c:numCache>
                <c:formatCode>0.0000</c:formatCode>
                <c:ptCount val="33"/>
                <c:pt idx="0">
                  <c:v>0</c:v>
                </c:pt>
                <c:pt idx="1">
                  <c:v>9.5399999999999999E-2</c:v>
                </c:pt>
                <c:pt idx="2">
                  <c:v>0.18729999999999999</c:v>
                </c:pt>
                <c:pt idx="3">
                  <c:v>0.27232000000000001</c:v>
                </c:pt>
                <c:pt idx="4">
                  <c:v>0.34733000000000003</c:v>
                </c:pt>
                <c:pt idx="5">
                  <c:v>0.40958</c:v>
                </c:pt>
                <c:pt idx="6">
                  <c:v>0.45677000000000001</c:v>
                </c:pt>
                <c:pt idx="7">
                  <c:v>0.48719000000000001</c:v>
                </c:pt>
                <c:pt idx="8">
                  <c:v>0.49969999999999998</c:v>
                </c:pt>
                <c:pt idx="9">
                  <c:v>0.49384</c:v>
                </c:pt>
                <c:pt idx="10">
                  <c:v>0.46984999999999999</c:v>
                </c:pt>
                <c:pt idx="11">
                  <c:v>0.42858000000000002</c:v>
                </c:pt>
                <c:pt idx="12">
                  <c:v>0.37157000000000001</c:v>
                </c:pt>
                <c:pt idx="13">
                  <c:v>0.30091000000000001</c:v>
                </c:pt>
                <c:pt idx="14">
                  <c:v>0.21919</c:v>
                </c:pt>
                <c:pt idx="15">
                  <c:v>0.12941</c:v>
                </c:pt>
                <c:pt idx="16">
                  <c:v>3.4880000000000001E-2</c:v>
                </c:pt>
                <c:pt idx="17">
                  <c:v>-6.0929999999999998E-2</c:v>
                </c:pt>
                <c:pt idx="18">
                  <c:v>-0.15451000000000001</c:v>
                </c:pt>
                <c:pt idx="19">
                  <c:v>-0.2424</c:v>
                </c:pt>
                <c:pt idx="20">
                  <c:v>-0.32139000000000001</c:v>
                </c:pt>
                <c:pt idx="21">
                  <c:v>-0.38857000000000003</c:v>
                </c:pt>
                <c:pt idx="22">
                  <c:v>-0.44146999999999997</c:v>
                </c:pt>
                <c:pt idx="23">
                  <c:v>-0.47815000000000002</c:v>
                </c:pt>
                <c:pt idx="24">
                  <c:v>-0.49725999999999998</c:v>
                </c:pt>
                <c:pt idx="25">
                  <c:v>-0.49809999999999999</c:v>
                </c:pt>
                <c:pt idx="26">
                  <c:v>-0.48063</c:v>
                </c:pt>
                <c:pt idx="27">
                  <c:v>-0.44550000000000001</c:v>
                </c:pt>
                <c:pt idx="28">
                  <c:v>-0.39401000000000003</c:v>
                </c:pt>
                <c:pt idx="29">
                  <c:v>-0.32802999999999999</c:v>
                </c:pt>
                <c:pt idx="30">
                  <c:v>-0.25</c:v>
                </c:pt>
                <c:pt idx="31">
                  <c:v>-0.16278000000000001</c:v>
                </c:pt>
                <c:pt idx="32">
                  <c:v>-6.9589999999999999E-2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13-CB42-BFBF-887BAFEF839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'1-Blade sections'!$G$14:$G$46</c:f>
              <c:numCache>
                <c:formatCode>General</c:formatCode>
                <c:ptCount val="33"/>
                <c:pt idx="0">
                  <c:v>0.49939</c:v>
                </c:pt>
                <c:pt idx="1">
                  <c:v>0.49019999999999997</c:v>
                </c:pt>
                <c:pt idx="2">
                  <c:v>0.46297999999999995</c:v>
                </c:pt>
                <c:pt idx="3">
                  <c:v>0.41873000000000005</c:v>
                </c:pt>
                <c:pt idx="4">
                  <c:v>0.35906000000000005</c:v>
                </c:pt>
                <c:pt idx="5">
                  <c:v>0.28617999999999999</c:v>
                </c:pt>
                <c:pt idx="6">
                  <c:v>0.20276000000000005</c:v>
                </c:pt>
                <c:pt idx="7">
                  <c:v>0.11187000000000002</c:v>
                </c:pt>
                <c:pt idx="8">
                  <c:v>1.6839999999999966E-2</c:v>
                </c:pt>
                <c:pt idx="9">
                  <c:v>-7.8830000000000011E-2</c:v>
                </c:pt>
                <c:pt idx="10">
                  <c:v>-0.17161999999999999</c:v>
                </c:pt>
                <c:pt idx="11">
                  <c:v>-0.25812999999999997</c:v>
                </c:pt>
                <c:pt idx="12">
                  <c:v>-0.33518000000000003</c:v>
                </c:pt>
                <c:pt idx="13">
                  <c:v>-0.39993000000000001</c:v>
                </c:pt>
                <c:pt idx="14">
                  <c:v>-0.45001000000000002</c:v>
                </c:pt>
                <c:pt idx="15">
                  <c:v>-0.48357</c:v>
                </c:pt>
                <c:pt idx="16">
                  <c:v>-0.49939</c:v>
                </c:pt>
                <c:pt idx="17">
                  <c:v>-0.49687999999999999</c:v>
                </c:pt>
                <c:pt idx="18">
                  <c:v>-0.47614000000000001</c:v>
                </c:pt>
                <c:pt idx="19">
                  <c:v>-0.43791999999999998</c:v>
                </c:pt>
                <c:pt idx="20">
                  <c:v>-0.38363000000000003</c:v>
                </c:pt>
                <c:pt idx="21">
                  <c:v>-0.31526999999999999</c:v>
                </c:pt>
                <c:pt idx="22">
                  <c:v>-0.23535</c:v>
                </c:pt>
                <c:pt idx="23">
                  <c:v>-0.14679999999999999</c:v>
                </c:pt>
                <c:pt idx="24">
                  <c:v>-5.2869999999999973E-2</c:v>
                </c:pt>
                <c:pt idx="25">
                  <c:v>4.2969999999999953E-2</c:v>
                </c:pt>
                <c:pt idx="26">
                  <c:v>0.13721000000000005</c:v>
                </c:pt>
                <c:pt idx="27">
                  <c:v>0.22638999999999998</c:v>
                </c:pt>
                <c:pt idx="28">
                  <c:v>0.30722000000000005</c:v>
                </c:pt>
                <c:pt idx="29">
                  <c:v>0.37673999999999996</c:v>
                </c:pt>
                <c:pt idx="30">
                  <c:v>0.43240000000000001</c:v>
                </c:pt>
                <c:pt idx="31">
                  <c:v>0.47214999999999996</c:v>
                </c:pt>
                <c:pt idx="32">
                  <c:v>0.49451999999999996</c:v>
                </c:pt>
              </c:numCache>
            </c:numRef>
          </c:xVal>
          <c:yVal>
            <c:numRef>
              <c:f>'1-Blade sections'!$H$14:$H$46</c:f>
              <c:numCache>
                <c:formatCode>General</c:formatCode>
                <c:ptCount val="33"/>
                <c:pt idx="0">
                  <c:v>-1.7440000000000001E-2</c:v>
                </c:pt>
                <c:pt idx="1">
                  <c:v>7.7960000000000002E-2</c:v>
                </c:pt>
                <c:pt idx="2">
                  <c:v>0.16985999999999998</c:v>
                </c:pt>
                <c:pt idx="3">
                  <c:v>0.25488</c:v>
                </c:pt>
                <c:pt idx="4">
                  <c:v>0.32989000000000002</c:v>
                </c:pt>
                <c:pt idx="5">
                  <c:v>0.39213999999999999</c:v>
                </c:pt>
                <c:pt idx="6">
                  <c:v>0.43933</c:v>
                </c:pt>
                <c:pt idx="7">
                  <c:v>0.46975</c:v>
                </c:pt>
                <c:pt idx="8">
                  <c:v>0.48225999999999997</c:v>
                </c:pt>
                <c:pt idx="9">
                  <c:v>0.47639999999999999</c:v>
                </c:pt>
                <c:pt idx="10">
                  <c:v>0.45240999999999998</c:v>
                </c:pt>
                <c:pt idx="11">
                  <c:v>0.41114000000000001</c:v>
                </c:pt>
                <c:pt idx="12">
                  <c:v>0.35413</c:v>
                </c:pt>
                <c:pt idx="13">
                  <c:v>0.28347</c:v>
                </c:pt>
                <c:pt idx="14">
                  <c:v>0.20174999999999998</c:v>
                </c:pt>
                <c:pt idx="15">
                  <c:v>0.11197</c:v>
                </c:pt>
                <c:pt idx="16">
                  <c:v>1.7440000000000001E-2</c:v>
                </c:pt>
                <c:pt idx="17">
                  <c:v>-7.8369999999999995E-2</c:v>
                </c:pt>
                <c:pt idx="18">
                  <c:v>-0.17195000000000002</c:v>
                </c:pt>
                <c:pt idx="19">
                  <c:v>-0.25984000000000002</c:v>
                </c:pt>
                <c:pt idx="20">
                  <c:v>-0.33883000000000002</c:v>
                </c:pt>
                <c:pt idx="21">
                  <c:v>-0.40601000000000004</c:v>
                </c:pt>
                <c:pt idx="22">
                  <c:v>-0.45890999999999998</c:v>
                </c:pt>
                <c:pt idx="23">
                  <c:v>-0.49559000000000003</c:v>
                </c:pt>
                <c:pt idx="24">
                  <c:v>-0.51469999999999994</c:v>
                </c:pt>
                <c:pt idx="25">
                  <c:v>-0.51554</c:v>
                </c:pt>
                <c:pt idx="26">
                  <c:v>-0.49807000000000001</c:v>
                </c:pt>
                <c:pt idx="27">
                  <c:v>-0.46294000000000002</c:v>
                </c:pt>
                <c:pt idx="28">
                  <c:v>-0.41145000000000004</c:v>
                </c:pt>
                <c:pt idx="29">
                  <c:v>-0.34547</c:v>
                </c:pt>
                <c:pt idx="30">
                  <c:v>-0.26744000000000001</c:v>
                </c:pt>
                <c:pt idx="31">
                  <c:v>-0.18022000000000002</c:v>
                </c:pt>
                <c:pt idx="32">
                  <c:v>-8.7029999999999996E-2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13-CB42-BFBF-887BAFEF8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62063"/>
        <c:axId val="1671849167"/>
      </c:scatterChart>
      <c:valAx>
        <c:axId val="168286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71849167"/>
        <c:crosses val="autoZero"/>
        <c:crossBetween val="midCat"/>
      </c:valAx>
      <c:valAx>
        <c:axId val="167184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8286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Ex.</a:t>
            </a:r>
            <a:r>
              <a:rPr lang="en-GB" baseline="0"/>
              <a:t> of visualization: </a:t>
            </a:r>
            <a:r>
              <a:rPr lang="en-GB"/>
              <a:t>Section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4.2270778652668407E-2"/>
          <c:y val="0.17634259259259263"/>
          <c:w val="0.89706255468066487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'1-Blade sections'!$R$14:$R$48</c:f>
              <c:numCache>
                <c:formatCode>General</c:formatCode>
                <c:ptCount val="35"/>
                <c:pt idx="0">
                  <c:v>92.560496816109222</c:v>
                </c:pt>
                <c:pt idx="1">
                  <c:v>82.267322994549744</c:v>
                </c:pt>
                <c:pt idx="2">
                  <c:v>72.01700554240962</c:v>
                </c:pt>
                <c:pt idx="3">
                  <c:v>51.677082023451995</c:v>
                </c:pt>
                <c:pt idx="4">
                  <c:v>31.519298074526628</c:v>
                </c:pt>
                <c:pt idx="5">
                  <c:v>11.532939603278733</c:v>
                </c:pt>
                <c:pt idx="6">
                  <c:v>-8.2069947438078277</c:v>
                </c:pt>
                <c:pt idx="7">
                  <c:v>-27.646934504958853</c:v>
                </c:pt>
                <c:pt idx="8">
                  <c:v>-46.669024664271113</c:v>
                </c:pt>
                <c:pt idx="9">
                  <c:v>-55.965787896830427</c:v>
                </c:pt>
                <c:pt idx="10">
                  <c:v>-65.058983374647781</c:v>
                </c:pt>
                <c:pt idx="11">
                  <c:v>-73.895040635948959</c:v>
                </c:pt>
                <c:pt idx="12">
                  <c:v>-82.216821464217787</c:v>
                </c:pt>
                <c:pt idx="13">
                  <c:v>-86.056289107706974</c:v>
                </c:pt>
                <c:pt idx="14">
                  <c:v>-89.606476257615483</c:v>
                </c:pt>
                <c:pt idx="15">
                  <c:v>-92.685243343910997</c:v>
                </c:pt>
                <c:pt idx="16">
                  <c:v>-93.822848423752262</c:v>
                </c:pt>
                <c:pt idx="17">
                  <c:v>-92.560496816109222</c:v>
                </c:pt>
                <c:pt idx="18">
                  <c:v>-88.594371354590081</c:v>
                </c:pt>
                <c:pt idx="19">
                  <c:v>-85.517515558522703</c:v>
                </c:pt>
                <c:pt idx="20">
                  <c:v>-80.038791784742926</c:v>
                </c:pt>
                <c:pt idx="21">
                  <c:v>-74.795778042769612</c:v>
                </c:pt>
                <c:pt idx="22">
                  <c:v>-69.64919113198988</c:v>
                </c:pt>
                <c:pt idx="23">
                  <c:v>-59.581013249882027</c:v>
                </c:pt>
                <c:pt idx="24">
                  <c:v>-49.705689030161331</c:v>
                </c:pt>
                <c:pt idx="25">
                  <c:v>-40.044646657537434</c:v>
                </c:pt>
                <c:pt idx="26">
                  <c:v>-30.587172039655517</c:v>
                </c:pt>
                <c:pt idx="27">
                  <c:v>-12.100786498085281</c:v>
                </c:pt>
                <c:pt idx="28">
                  <c:v>5.9784635340010031</c:v>
                </c:pt>
                <c:pt idx="29">
                  <c:v>23.768433072506593</c:v>
                </c:pt>
                <c:pt idx="30">
                  <c:v>41.333406671560532</c:v>
                </c:pt>
                <c:pt idx="31">
                  <c:v>58.705526608227373</c:v>
                </c:pt>
                <c:pt idx="32">
                  <c:v>75.906221067216734</c:v>
                </c:pt>
                <c:pt idx="33">
                  <c:v>84.431569650227502</c:v>
                </c:pt>
                <c:pt idx="34">
                  <c:v>92.903347771464126</c:v>
                </c:pt>
              </c:numCache>
            </c:numRef>
          </c:xVal>
          <c:yVal>
            <c:numRef>
              <c:f>'1-Blade sections'!$S$14:$S$48</c:f>
              <c:numCache>
                <c:formatCode>General</c:formatCode>
                <c:ptCount val="35"/>
                <c:pt idx="0">
                  <c:v>53.718695709490454</c:v>
                </c:pt>
                <c:pt idx="1">
                  <c:v>50.140456755525193</c:v>
                </c:pt>
                <c:pt idx="2">
                  <c:v>46.488100833915986</c:v>
                </c:pt>
                <c:pt idx="3">
                  <c:v>38.905450362032724</c:v>
                </c:pt>
                <c:pt idx="4">
                  <c:v>31.007802777662622</c:v>
                </c:pt>
                <c:pt idx="5">
                  <c:v>22.813687322716707</c:v>
                </c:pt>
                <c:pt idx="6">
                  <c:v>14.193399303818026</c:v>
                </c:pt>
                <c:pt idx="7">
                  <c:v>5.0542925114116368</c:v>
                </c:pt>
                <c:pt idx="8">
                  <c:v>-4.8074547155233534</c:v>
                </c:pt>
                <c:pt idx="9">
                  <c:v>-10.108913167210636</c:v>
                </c:pt>
                <c:pt idx="10">
                  <c:v>-15.762427215206722</c:v>
                </c:pt>
                <c:pt idx="11">
                  <c:v>-21.860643069066558</c:v>
                </c:pt>
                <c:pt idx="12">
                  <c:v>-28.848262534653902</c:v>
                </c:pt>
                <c:pt idx="13">
                  <c:v>-32.897949524777253</c:v>
                </c:pt>
                <c:pt idx="14">
                  <c:v>-37.447926046497329</c:v>
                </c:pt>
                <c:pt idx="15">
                  <c:v>-42.813189212300948</c:v>
                </c:pt>
                <c:pt idx="16">
                  <c:v>-46.190667366864865</c:v>
                </c:pt>
                <c:pt idx="17">
                  <c:v>-53.718695709490454</c:v>
                </c:pt>
                <c:pt idx="18">
                  <c:v>-55.232937419427778</c:v>
                </c:pt>
                <c:pt idx="19">
                  <c:v>-55.20925205075298</c:v>
                </c:pt>
                <c:pt idx="20">
                  <c:v>-53.994539073011033</c:v>
                </c:pt>
                <c:pt idx="21">
                  <c:v>-52.372182773227308</c:v>
                </c:pt>
                <c:pt idx="22">
                  <c:v>-50.583063296244696</c:v>
                </c:pt>
                <c:pt idx="23">
                  <c:v>-46.615710262148646</c:v>
                </c:pt>
                <c:pt idx="24">
                  <c:v>-42.314830873654806</c:v>
                </c:pt>
                <c:pt idx="25">
                  <c:v>-37.643366646941175</c:v>
                </c:pt>
                <c:pt idx="26">
                  <c:v>-32.619846823918728</c:v>
                </c:pt>
                <c:pt idx="27">
                  <c:v>-21.831637501434258</c:v>
                </c:pt>
                <c:pt idx="28">
                  <c:v>-10.339316986332191</c:v>
                </c:pt>
                <c:pt idx="29">
                  <c:v>1.6532930603665961</c:v>
                </c:pt>
                <c:pt idx="30">
                  <c:v>14.035017187196162</c:v>
                </c:pt>
                <c:pt idx="31">
                  <c:v>26.750267668423557</c:v>
                </c:pt>
                <c:pt idx="32">
                  <c:v>39.761986020226772</c:v>
                </c:pt>
                <c:pt idx="33">
                  <c:v>46.397549889505299</c:v>
                </c:pt>
                <c:pt idx="34">
                  <c:v>53.125759968338784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56-8F4A-8E05-9F2B4E658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45856"/>
        <c:axId val="2090606815"/>
      </c:scatterChart>
      <c:valAx>
        <c:axId val="4054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2090606815"/>
        <c:crosses val="autoZero"/>
        <c:crossBetween val="midCat"/>
      </c:valAx>
      <c:valAx>
        <c:axId val="209060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054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8623</xdr:colOff>
      <xdr:row>58</xdr:row>
      <xdr:rowOff>186303</xdr:rowOff>
    </xdr:from>
    <xdr:to>
      <xdr:col>24</xdr:col>
      <xdr:colOff>76900</xdr:colOff>
      <xdr:row>69</xdr:row>
      <xdr:rowOff>35855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34B10B-1B15-BFA6-E981-98D470FE0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60</xdr:row>
      <xdr:rowOff>11536</xdr:rowOff>
    </xdr:from>
    <xdr:to>
      <xdr:col>4</xdr:col>
      <xdr:colOff>660167</xdr:colOff>
      <xdr:row>75</xdr:row>
      <xdr:rowOff>184210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C0D23-8C06-52AD-10E7-40C032F4F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221376</xdr:colOff>
      <xdr:row>61</xdr:row>
      <xdr:rowOff>23301</xdr:rowOff>
    </xdr:from>
    <xdr:to>
      <xdr:col>11</xdr:col>
      <xdr:colOff>118145</xdr:colOff>
      <xdr:row>74</xdr:row>
      <xdr:rowOff>147990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C98702-2C74-A915-E57A-1956A7399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6FC0-67BD-46BD-820F-DD324B6C9695}">
  <dimension ref="A1:BU102"/>
  <sheetViews>
    <sheetView tabSelected="1" zoomScale="109" zoomScaleNormal="100" workbookViewId="0">
      <selection activeCell="S6" sqref="S6"/>
    </sheetView>
  </sheetViews>
  <sheetFormatPr baseColWidth="10" defaultColWidth="8.6640625" defaultRowHeight="16" x14ac:dyDescent="0.2"/>
  <cols>
    <col min="1" max="1" width="14.5" customWidth="1"/>
    <col min="2" max="2" width="15" customWidth="1"/>
    <col min="3" max="3" width="10.6640625" customWidth="1"/>
    <col min="4" max="4" width="6.1640625" customWidth="1"/>
    <col min="5" max="5" width="10.6640625" customWidth="1"/>
    <col min="7" max="8" width="13" bestFit="1" customWidth="1"/>
    <col min="12" max="13" width="13" bestFit="1" customWidth="1"/>
    <col min="15" max="15" width="11.1640625" bestFit="1" customWidth="1"/>
    <col min="16" max="16" width="11.6640625" bestFit="1" customWidth="1"/>
    <col min="18" max="18" width="11.1640625" customWidth="1"/>
    <col min="19" max="19" width="11.6640625" customWidth="1"/>
    <col min="21" max="21" width="11" customWidth="1"/>
    <col min="22" max="22" width="11.6640625" customWidth="1"/>
    <col min="24" max="24" width="10.6640625" customWidth="1"/>
    <col min="25" max="25" width="12" customWidth="1"/>
    <col min="27" max="27" width="11.1640625" customWidth="1"/>
    <col min="28" max="28" width="12.6640625" bestFit="1" customWidth="1"/>
    <col min="30" max="30" width="11.1640625" customWidth="1"/>
    <col min="31" max="31" width="12.6640625" bestFit="1" customWidth="1"/>
    <col min="33" max="34" width="12.6640625" bestFit="1" customWidth="1"/>
    <col min="36" max="37" width="12.6640625" bestFit="1" customWidth="1"/>
    <col min="39" max="40" width="12.6640625" bestFit="1" customWidth="1"/>
    <col min="42" max="43" width="12.6640625" bestFit="1" customWidth="1"/>
    <col min="45" max="46" width="12.6640625" bestFit="1" customWidth="1"/>
  </cols>
  <sheetData>
    <row r="1" spans="1:73" x14ac:dyDescent="0.2">
      <c r="A1" s="22" t="s">
        <v>0</v>
      </c>
    </row>
    <row r="2" spans="1:73" x14ac:dyDescent="0.2">
      <c r="A2" s="25" t="s">
        <v>4</v>
      </c>
    </row>
    <row r="3" spans="1:73" x14ac:dyDescent="0.2">
      <c r="A3" t="s">
        <v>77</v>
      </c>
    </row>
    <row r="4" spans="1:73" x14ac:dyDescent="0.2">
      <c r="A4" t="s">
        <v>78</v>
      </c>
    </row>
    <row r="5" spans="1:73" x14ac:dyDescent="0.2">
      <c r="A5" t="s">
        <v>79</v>
      </c>
    </row>
    <row r="7" spans="1:73" x14ac:dyDescent="0.2">
      <c r="A7" s="22" t="s">
        <v>5</v>
      </c>
    </row>
    <row r="8" spans="1:73" x14ac:dyDescent="0.2">
      <c r="A8" t="s">
        <v>6</v>
      </c>
    </row>
    <row r="9" spans="1:73" x14ac:dyDescent="0.2">
      <c r="A9" t="s">
        <v>7</v>
      </c>
    </row>
    <row r="10" spans="1:73" x14ac:dyDescent="0.2">
      <c r="A10" t="s">
        <v>8</v>
      </c>
    </row>
    <row r="11" spans="1:73" ht="17" thickBot="1" x14ac:dyDescent="0.25"/>
    <row r="12" spans="1:73" ht="17" thickBot="1" x14ac:dyDescent="0.25">
      <c r="E12" s="58" t="s">
        <v>9</v>
      </c>
      <c r="F12" s="59"/>
      <c r="G12" s="59"/>
      <c r="H12" s="60"/>
      <c r="J12" s="61" t="s">
        <v>10</v>
      </c>
      <c r="K12" s="62"/>
      <c r="L12" s="62"/>
      <c r="M12" s="63"/>
      <c r="O12" s="66" t="s">
        <v>11</v>
      </c>
      <c r="P12" s="67"/>
      <c r="Q12" s="22"/>
      <c r="R12" s="64" t="s">
        <v>12</v>
      </c>
      <c r="S12" s="65"/>
      <c r="T12" s="22"/>
      <c r="U12" s="64" t="s">
        <v>13</v>
      </c>
      <c r="V12" s="65"/>
      <c r="W12" s="22"/>
      <c r="X12" s="64" t="s">
        <v>14</v>
      </c>
      <c r="Y12" s="65"/>
      <c r="Z12" s="22"/>
      <c r="AA12" s="64" t="s">
        <v>15</v>
      </c>
      <c r="AB12" s="65"/>
      <c r="AC12" s="22"/>
      <c r="AD12" s="64" t="s">
        <v>16</v>
      </c>
      <c r="AE12" s="65"/>
      <c r="AF12" s="22"/>
      <c r="AG12" s="64" t="s">
        <v>17</v>
      </c>
      <c r="AH12" s="65"/>
      <c r="AI12" s="22"/>
      <c r="AJ12" s="64" t="s">
        <v>18</v>
      </c>
      <c r="AK12" s="65"/>
      <c r="AL12" s="22"/>
      <c r="AM12" s="64" t="s">
        <v>19</v>
      </c>
      <c r="AN12" s="65"/>
      <c r="AO12" s="22"/>
      <c r="AP12" s="64" t="s">
        <v>20</v>
      </c>
      <c r="AQ12" s="65"/>
      <c r="AR12" s="22"/>
      <c r="AS12" s="64" t="s">
        <v>21</v>
      </c>
      <c r="AT12" s="65"/>
      <c r="AV12" s="64" t="s">
        <v>22</v>
      </c>
      <c r="AW12" s="65"/>
      <c r="AY12" s="64" t="s">
        <v>23</v>
      </c>
      <c r="AZ12" s="65"/>
      <c r="BB12" s="64" t="s">
        <v>24</v>
      </c>
      <c r="BC12" s="65"/>
      <c r="BE12" s="64" t="s">
        <v>25</v>
      </c>
      <c r="BF12" s="65"/>
      <c r="BH12" s="64" t="s">
        <v>26</v>
      </c>
      <c r="BI12" s="65"/>
      <c r="BK12" s="64" t="s">
        <v>27</v>
      </c>
      <c r="BL12" s="65"/>
      <c r="BN12" s="64" t="s">
        <v>28</v>
      </c>
      <c r="BO12" s="65"/>
      <c r="BQ12" s="64" t="s">
        <v>28</v>
      </c>
      <c r="BR12" s="65"/>
      <c r="BT12" s="64" t="s">
        <v>28</v>
      </c>
      <c r="BU12" s="65"/>
    </row>
    <row r="13" spans="1:73" ht="17" thickBot="1" x14ac:dyDescent="0.25">
      <c r="A13" s="7" t="s">
        <v>1</v>
      </c>
      <c r="B13" s="7" t="s">
        <v>2</v>
      </c>
      <c r="C13" s="7" t="s">
        <v>3</v>
      </c>
      <c r="E13" s="40" t="s">
        <v>29</v>
      </c>
      <c r="F13" s="41" t="s">
        <v>30</v>
      </c>
      <c r="G13" s="42" t="s">
        <v>31</v>
      </c>
      <c r="H13" s="41" t="s">
        <v>32</v>
      </c>
      <c r="I13" s="22"/>
      <c r="J13" s="40" t="s">
        <v>29</v>
      </c>
      <c r="K13" s="43" t="s">
        <v>30</v>
      </c>
      <c r="L13" s="40" t="s">
        <v>31</v>
      </c>
      <c r="M13" s="41" t="s">
        <v>32</v>
      </c>
      <c r="O13" s="50" t="s">
        <v>33</v>
      </c>
      <c r="P13" s="51" t="s">
        <v>34</v>
      </c>
      <c r="Q13" s="22"/>
      <c r="R13" s="23" t="s">
        <v>35</v>
      </c>
      <c r="S13" s="24" t="s">
        <v>36</v>
      </c>
      <c r="T13" s="22"/>
      <c r="U13" s="23" t="s">
        <v>37</v>
      </c>
      <c r="V13" s="24" t="s">
        <v>38</v>
      </c>
      <c r="W13" s="22"/>
      <c r="X13" s="23" t="s">
        <v>39</v>
      </c>
      <c r="Y13" s="24" t="s">
        <v>40</v>
      </c>
      <c r="Z13" s="22"/>
      <c r="AA13" s="23" t="s">
        <v>41</v>
      </c>
      <c r="AB13" s="24" t="s">
        <v>42</v>
      </c>
      <c r="AC13" s="22"/>
      <c r="AD13" s="23" t="s">
        <v>43</v>
      </c>
      <c r="AE13" s="24" t="s">
        <v>44</v>
      </c>
      <c r="AF13" s="22"/>
      <c r="AG13" s="23" t="s">
        <v>45</v>
      </c>
      <c r="AH13" s="24" t="s">
        <v>46</v>
      </c>
      <c r="AI13" s="22"/>
      <c r="AJ13" s="23" t="s">
        <v>47</v>
      </c>
      <c r="AK13" s="24" t="s">
        <v>48</v>
      </c>
      <c r="AL13" s="22"/>
      <c r="AM13" s="23" t="s">
        <v>49</v>
      </c>
      <c r="AN13" s="24" t="s">
        <v>50</v>
      </c>
      <c r="AO13" s="22"/>
      <c r="AP13" s="23" t="s">
        <v>51</v>
      </c>
      <c r="AQ13" s="24" t="s">
        <v>52</v>
      </c>
      <c r="AR13" s="22"/>
      <c r="AS13" s="23" t="s">
        <v>53</v>
      </c>
      <c r="AT13" s="24" t="s">
        <v>54</v>
      </c>
      <c r="AV13" s="50" t="s">
        <v>55</v>
      </c>
      <c r="AW13" s="51" t="s">
        <v>56</v>
      </c>
      <c r="AY13" s="50" t="s">
        <v>57</v>
      </c>
      <c r="AZ13" s="51" t="s">
        <v>58</v>
      </c>
      <c r="BB13" s="50" t="s">
        <v>59</v>
      </c>
      <c r="BC13" s="51" t="s">
        <v>60</v>
      </c>
      <c r="BE13" s="50" t="s">
        <v>61</v>
      </c>
      <c r="BF13" s="51" t="s">
        <v>62</v>
      </c>
      <c r="BH13" s="50" t="s">
        <v>63</v>
      </c>
      <c r="BI13" s="51" t="s">
        <v>64</v>
      </c>
      <c r="BK13" s="50" t="s">
        <v>65</v>
      </c>
      <c r="BL13" s="51" t="s">
        <v>66</v>
      </c>
      <c r="BN13" s="50" t="s">
        <v>67</v>
      </c>
      <c r="BO13" s="51" t="s">
        <v>68</v>
      </c>
      <c r="BQ13" s="50" t="s">
        <v>69</v>
      </c>
      <c r="BR13" s="51" t="s">
        <v>70</v>
      </c>
      <c r="BT13" s="50" t="s">
        <v>71</v>
      </c>
      <c r="BU13" s="51" t="s">
        <v>72</v>
      </c>
    </row>
    <row r="14" spans="1:73" x14ac:dyDescent="0.2">
      <c r="A14" s="57">
        <v>0.03</v>
      </c>
      <c r="B14" s="57">
        <v>4.8000000000000001E-2</v>
      </c>
      <c r="C14" s="57">
        <v>0</v>
      </c>
      <c r="D14" s="28"/>
      <c r="E14" s="37">
        <v>1</v>
      </c>
      <c r="F14" s="38">
        <v>0</v>
      </c>
      <c r="G14" s="39">
        <f>E14-(MIN($E$14:$E$46)+MAX($J$14:$J$48))/2</f>
        <v>0.49939</v>
      </c>
      <c r="H14" s="10">
        <f>F14-(INDEX($F$14:$F$48,MATCH(MIN($E$14:$E$48),$E$14:$E$48,0))+INDEX($F$14:$F$48,MATCH(MAX($E$14:$E$48),$E$14:$E$48,0)))/2</f>
        <v>-1.7440000000000001E-2</v>
      </c>
      <c r="I14" s="26"/>
      <c r="J14" s="44">
        <v>1</v>
      </c>
      <c r="K14" s="45">
        <v>1.6000000000000001E-3</v>
      </c>
      <c r="L14" s="3">
        <f>J14-(MIN($J$14:$J$48)+MAX($J$14:$J$48))/2</f>
        <v>0.5</v>
      </c>
      <c r="M14" s="10">
        <f>K14-(INDEX($K$14:$K$48,MATCH(MIN($J$14:$J$48),$J$14:$J$48,0))+INDEX($K$14:$K$48,MATCH(MAX($J$14:$J$48),$J$14:$J$48,0)))/2</f>
        <v>8.0000000000000004E-4</v>
      </c>
      <c r="O14" s="52">
        <f>(G14*COS(RADIANS($C$14))-H14*SIN(RADIANS($C$14)))*$B$14*1000</f>
        <v>23.97072</v>
      </c>
      <c r="P14" s="53">
        <f>(G14*SIN(RADIANS($C$14))+H14*COS(RADIANS($C$14)))*$B$14*1000</f>
        <v>-0.83711999999999998</v>
      </c>
      <c r="R14" s="3">
        <f t="shared" ref="R14:R48" si="0">(L14*COS(RADIANS($C$15))-M14*SIN(RADIANS($C$15)))*$B$15*1000</f>
        <v>92.560496816109222</v>
      </c>
      <c r="S14" s="10">
        <f t="shared" ref="S14:S48" si="1">(L14*SIN(RADIANS($C$15))+M14*COS(RADIANS($C$15)))*$B$15*1000</f>
        <v>53.718695709490454</v>
      </c>
      <c r="U14" s="3">
        <f t="shared" ref="U14:U48" si="2">(L14*COS(RADIANS($C$16))-M14*SIN(RADIANS($C$16)))*$B$16*1000</f>
        <v>89.423649313744534</v>
      </c>
      <c r="V14" s="10">
        <f t="shared" ref="V14:V48" si="3">(L14*SIN(RADIANS($C$16))+M14*COS(RADIANS($C$16)))*$B$16*1000</f>
        <v>33.395412392907211</v>
      </c>
      <c r="X14" s="3">
        <f t="shared" ref="X14:X48" si="4">(L14*COS(RADIANS($C$17))-M14*SIN(RADIANS($C$17)))*$B$17*1000</f>
        <v>76.920716528890935</v>
      </c>
      <c r="Y14" s="10">
        <f t="shared" ref="Y14:Y48" si="5">(L14*SIN(RADIANS($C$17))+M14*COS(RADIANS($C$17)))*$B$17*1000</f>
        <v>20.009352555212963</v>
      </c>
      <c r="AA14" s="3">
        <f t="shared" ref="AA14:AA48" si="6">(L14*COS(RADIANS($C$18))-M14*SIN(RADIANS($C$18)))*$B$18*1000</f>
        <v>65.31112943866674</v>
      </c>
      <c r="AB14" s="10">
        <f t="shared" ref="AB14:AB48" si="7">(L14*SIN(RADIANS($C$18))+M14*COS(RADIANS($C$18)))*$B$18*1000</f>
        <v>12.427884848099101</v>
      </c>
      <c r="AD14" s="3">
        <f t="shared" ref="AD14:AD48" si="8">(L14*COS(RADIANS($C$19))-M14*SIN(RADIANS($C$19)))*$B$19*1000</f>
        <v>56.020419942296506</v>
      </c>
      <c r="AE14" s="10">
        <f t="shared" ref="AE14:AE48" si="9">(L14*SIN(RADIANS($C$19))+M14*COS(RADIANS($C$19)))*$B$19*1000</f>
        <v>8.0333557197991539</v>
      </c>
      <c r="AG14" s="3">
        <f t="shared" ref="AG14:AG48" si="10">(L14*COS(RADIANS($C$20))-M14*SIN(RADIANS($C$20)))*$B$20*1000</f>
        <v>48.746200176663663</v>
      </c>
      <c r="AH14" s="10">
        <f t="shared" ref="AH14:AH48" si="11">(L14*SIN(RADIANS($C$20))+M14*COS(RADIANS($C$20)))*$B$20*1000</f>
        <v>5.3575973122243523</v>
      </c>
      <c r="AJ14" s="3">
        <f t="shared" ref="AJ14:AJ48" si="12">(L14*COS(RADIANS($C$21))-M14*SIN(RADIANS($C$21)))*$B$21*1000</f>
        <v>43.004247930683754</v>
      </c>
      <c r="AK14" s="10">
        <f t="shared" ref="AK14:AK48" si="13">(L14*SIN(RADIANS($C$21))+M14*COS(RADIANS($C$21)))*$B$21*1000</f>
        <v>3.648909481333928</v>
      </c>
      <c r="AM14" s="3">
        <f t="shared" ref="AM14:AM48" si="14">(L14*COS(RADIANS($C$22))-M14*SIN(RADIANS($C$22)))*$B$22*1000</f>
        <v>38.400034733631401</v>
      </c>
      <c r="AN14" s="10">
        <f t="shared" ref="AN14:AN48" si="15">(L14*SIN(RADIANS($C$22))+M14*COS(RADIANS($C$22)))*$B$22*1000</f>
        <v>2.5122907098372331</v>
      </c>
      <c r="AP14" s="3">
        <f t="shared" ref="AP14:AP48" si="16">(L14*COS(RADIANS($C$23))-M14*SIN(RADIANS($C$23)))*$B$23*1000</f>
        <v>34.645878199119771</v>
      </c>
      <c r="AQ14" s="10">
        <f t="shared" ref="AQ14:AQ48" si="17">(L14*SIN(RADIANS($C$23))+M14*COS(RADIANS($C$23)))*$B$23*1000</f>
        <v>1.7301075744229937</v>
      </c>
      <c r="AS14" s="3">
        <f t="shared" ref="AS14:AS48" si="18">(L14*COS(RADIANS($C$24))-M14*SIN(RADIANS($C$24)))*$B$24*1000</f>
        <v>34.645878199119771</v>
      </c>
      <c r="AT14" s="10">
        <f t="shared" ref="AT14:AT48" si="19">(L14*SIN(RADIANS($C$24))+M14*COS(RADIANS($C$24)))*$B$24*1000</f>
        <v>1.7301075744229937</v>
      </c>
      <c r="AV14" s="52">
        <f t="shared" ref="AV14:AV48" si="20">(L14*COS(RADIANS($C$25))-M14*SIN(RADIANS($C$25)))*$B$25*1000</f>
        <v>0</v>
      </c>
      <c r="AW14" s="53">
        <f t="shared" ref="AW14:AW48" si="21">(L14*SIN(RADIANS($C$25))+M14*COS(RADIANS($C$25)))*$B$25*1000</f>
        <v>0</v>
      </c>
      <c r="AY14" s="52">
        <f t="shared" ref="AY14:AY48" si="22">(L14*COS(RADIANS($C$26))-M14*SIN(RADIANS($C$26)))*$B$26*1000</f>
        <v>0</v>
      </c>
      <c r="AZ14" s="53">
        <f t="shared" ref="AZ14:AZ48" si="23">(L14*SIN(RADIANS($C$26))+M14*COS(RADIANS($C$26)))*$B$26*1000</f>
        <v>0</v>
      </c>
      <c r="BB14" s="52">
        <f t="shared" ref="BB14:BB48" si="24">(L14*COS(RADIANS($C$27))-M14*SIN(RADIANS($C$27)))*$B$27*1000</f>
        <v>0</v>
      </c>
      <c r="BC14" s="53">
        <f t="shared" ref="BC14:BC48" si="25">(L14*SIN(RADIANS($C$27))+M14*COS(RADIANS($C$27)))*$B$27*1000</f>
        <v>0</v>
      </c>
      <c r="BE14" s="52">
        <f t="shared" ref="BE14:BE48" si="26">(L14*COS(RADIANS($C$28))-M14*SIN(RADIANS($C$28)))*$B$28*1000</f>
        <v>0</v>
      </c>
      <c r="BF14" s="53">
        <f t="shared" ref="BF14:BF48" si="27">(L14*SIN(RADIANS($C$28))+M14*COS(RADIANS($C$28)))*$B$28*1000</f>
        <v>0</v>
      </c>
      <c r="BH14" s="52">
        <f t="shared" ref="BH14:BH48" si="28">(L14*COS(RADIANS($C$29))-M14*SIN(RADIANS($C$29)))*$B$29*1000</f>
        <v>0</v>
      </c>
      <c r="BI14" s="53">
        <f t="shared" ref="BI14:BI48" si="29">(L14*SIN(RADIANS($C$29))+M14*COS(RADIANS($C$29)))*$B$29*1000</f>
        <v>0</v>
      </c>
      <c r="BK14" s="52">
        <f t="shared" ref="BK14:BK48" si="30">(L14*COS(RADIANS($C$30))-M14*SIN(RADIANS($C$30)))*$B$30*1000</f>
        <v>0</v>
      </c>
      <c r="BL14" s="53">
        <f t="shared" ref="BL14:BL48" si="31">(L14*SIN(RADIANS($C$30))+M14*COS(RADIANS($C$30)))*$B$30*1000</f>
        <v>0</v>
      </c>
      <c r="BN14" s="52">
        <f t="shared" ref="BN14:BN48" si="32">(L14*COS(RADIANS($C$31))-M14*SIN(RADIANS($C$31)))*$B$31*1000</f>
        <v>0</v>
      </c>
      <c r="BO14" s="53">
        <f t="shared" ref="BO14:BO48" si="33">(L14*SIN(RADIANS($C$31))+M14*COS(RADIANS($C$31)))*$B$31*1000</f>
        <v>0</v>
      </c>
      <c r="BQ14" s="52">
        <f t="shared" ref="BQ14:BQ48" si="34">(L14*COS(RADIANS($C$32))-M14*SIN(RADIANS($C$32)))*$B$32*1000</f>
        <v>0</v>
      </c>
      <c r="BR14" s="53">
        <f t="shared" ref="BR14:BR48" si="35">(L14*SIN(RADIANS($C$32))+M14*COS(RADIANS($C$32)))*$B$32*1000</f>
        <v>0</v>
      </c>
      <c r="BT14" s="52">
        <f t="shared" ref="BT14:BT48" si="36">(L14*COS(RADIANS($C$33))-M14*SIN(RADIANS($C$33)))*$B$33*1000</f>
        <v>0</v>
      </c>
      <c r="BU14" s="53">
        <f t="shared" ref="BU14:BU48" si="37">(L14*SIN(RADIANS($C$33))+M14*COS(RADIANS($C$33)))*$B$33*1000</f>
        <v>0</v>
      </c>
    </row>
    <row r="15" spans="1:73" x14ac:dyDescent="0.2">
      <c r="A15" s="57">
        <v>6.7500000000000004E-2</v>
      </c>
      <c r="B15" s="57">
        <v>0.21403844999999999</v>
      </c>
      <c r="C15" s="57">
        <v>30.037624260000001</v>
      </c>
      <c r="D15" s="28"/>
      <c r="E15" s="31">
        <v>0.99080999999999997</v>
      </c>
      <c r="F15" s="35">
        <v>9.5399999999999999E-2</v>
      </c>
      <c r="G15" s="34">
        <f>E15-(MIN($E$14:$E$46)+MAX($J$14:$J$48))/2</f>
        <v>0.49019999999999997</v>
      </c>
      <c r="H15" s="8">
        <f t="shared" ref="H15:H46" si="38">F15-(INDEX($F$14:$F$48,MATCH(MIN($E$14:$E$48),$E$14:$E$48,0))+INDEX($F$14:$F$48,MATCH(MAX($E$14:$E$48),$E$14:$E$48,0)))/2</f>
        <v>7.7960000000000002E-2</v>
      </c>
      <c r="I15" s="26"/>
      <c r="J15" s="46">
        <v>0.95</v>
      </c>
      <c r="K15" s="47">
        <v>1.12E-2</v>
      </c>
      <c r="L15" s="1">
        <f>J15-(MIN($J$14:$J$48)+MAX($J$14:$J$48))/2</f>
        <v>0.44999999999999996</v>
      </c>
      <c r="M15" s="8">
        <f>K15-(INDEX($K$14:$K$48,MATCH(MIN($J$14:$J$48),$J$14:$J$48,0))+INDEX($K$14:$K$48,MATCH(MAX($J$14:$J$48),$J$14:$J$48,0)))/2</f>
        <v>1.04E-2</v>
      </c>
      <c r="O15" s="1">
        <f t="shared" ref="O15:O46" si="39">(G15*COS(RADIANS($C$14))-H15*SIN(RADIANS($C$14)))*$B$14*1000</f>
        <v>23.529599999999999</v>
      </c>
      <c r="P15" s="8">
        <f t="shared" ref="P15:P46" si="40">(G15*SIN(RADIANS($C$14))+H15*COS(RADIANS($C$14)))*$B$14*1000</f>
        <v>3.7420800000000001</v>
      </c>
      <c r="R15" s="1">
        <f t="shared" si="0"/>
        <v>82.267322994549744</v>
      </c>
      <c r="S15" s="8">
        <f t="shared" si="1"/>
        <v>50.140456755525193</v>
      </c>
      <c r="U15" s="1">
        <f t="shared" si="2"/>
        <v>79.837520833439228</v>
      </c>
      <c r="V15" s="8">
        <f t="shared" si="3"/>
        <v>31.788143026008875</v>
      </c>
      <c r="X15" s="1">
        <f t="shared" si="4"/>
        <v>68.843647492241388</v>
      </c>
      <c r="Y15" s="8">
        <f t="shared" si="5"/>
        <v>19.498218367505007</v>
      </c>
      <c r="AA15" s="1">
        <f t="shared" si="6"/>
        <v>58.541436332451561</v>
      </c>
      <c r="AB15" s="8">
        <f t="shared" si="7"/>
        <v>12.449901557481535</v>
      </c>
      <c r="AD15" s="1">
        <f t="shared" si="8"/>
        <v>50.264587863562284</v>
      </c>
      <c r="AE15" s="8">
        <f t="shared" si="9"/>
        <v>8.3148215420373042</v>
      </c>
      <c r="AG15" s="1">
        <f t="shared" si="10"/>
        <v>43.769367298994226</v>
      </c>
      <c r="AH15" s="8">
        <f t="shared" si="11"/>
        <v>5.7657275569981303</v>
      </c>
      <c r="AJ15" s="1">
        <f t="shared" si="12"/>
        <v>38.634512527075813</v>
      </c>
      <c r="AK15" s="8">
        <f t="shared" si="13"/>
        <v>4.1166916701154355</v>
      </c>
      <c r="AM15" s="1">
        <f t="shared" si="14"/>
        <v>34.51258291306948</v>
      </c>
      <c r="AN15" s="8">
        <f t="shared" si="15"/>
        <v>3.0045622286521319</v>
      </c>
      <c r="AP15" s="1">
        <f t="shared" si="16"/>
        <v>31.148868770289386</v>
      </c>
      <c r="AQ15" s="8">
        <f t="shared" si="17"/>
        <v>2.2278928934899227</v>
      </c>
      <c r="AS15" s="1">
        <f t="shared" si="18"/>
        <v>31.148868770289386</v>
      </c>
      <c r="AT15" s="8">
        <f t="shared" si="19"/>
        <v>2.2278928934899227</v>
      </c>
      <c r="AV15" s="1">
        <f t="shared" si="20"/>
        <v>0</v>
      </c>
      <c r="AW15" s="8">
        <f t="shared" si="21"/>
        <v>0</v>
      </c>
      <c r="AY15" s="1">
        <f t="shared" si="22"/>
        <v>0</v>
      </c>
      <c r="AZ15" s="8">
        <f t="shared" si="23"/>
        <v>0</v>
      </c>
      <c r="BB15" s="1">
        <f t="shared" si="24"/>
        <v>0</v>
      </c>
      <c r="BC15" s="8">
        <f t="shared" si="25"/>
        <v>0</v>
      </c>
      <c r="BE15" s="1">
        <f t="shared" si="26"/>
        <v>0</v>
      </c>
      <c r="BF15" s="8">
        <f t="shared" si="27"/>
        <v>0</v>
      </c>
      <c r="BH15" s="1">
        <f t="shared" si="28"/>
        <v>0</v>
      </c>
      <c r="BI15" s="8">
        <f t="shared" si="29"/>
        <v>0</v>
      </c>
      <c r="BK15" s="1">
        <f t="shared" si="30"/>
        <v>0</v>
      </c>
      <c r="BL15" s="8">
        <f t="shared" si="31"/>
        <v>0</v>
      </c>
      <c r="BN15" s="1">
        <f t="shared" si="32"/>
        <v>0</v>
      </c>
      <c r="BO15" s="8">
        <f t="shared" si="33"/>
        <v>0</v>
      </c>
      <c r="BQ15" s="1">
        <f t="shared" si="34"/>
        <v>0</v>
      </c>
      <c r="BR15" s="8">
        <f t="shared" si="35"/>
        <v>0</v>
      </c>
      <c r="BT15" s="1">
        <f t="shared" si="36"/>
        <v>0</v>
      </c>
      <c r="BU15" s="8">
        <f t="shared" si="37"/>
        <v>0</v>
      </c>
    </row>
    <row r="16" spans="1:73" x14ac:dyDescent="0.2">
      <c r="A16" s="57">
        <v>0.1125</v>
      </c>
      <c r="B16" s="57">
        <v>0.19091169999999999</v>
      </c>
      <c r="C16" s="57">
        <v>20.386557589999999</v>
      </c>
      <c r="D16" s="28"/>
      <c r="E16" s="32">
        <v>0.96358999999999995</v>
      </c>
      <c r="F16" s="35">
        <v>0.18729999999999999</v>
      </c>
      <c r="G16" s="34">
        <f>E16-(MIN($E$14:$E$46)+MAX($J$14:$J$48))/2</f>
        <v>0.46297999999999995</v>
      </c>
      <c r="H16" s="8">
        <f t="shared" si="38"/>
        <v>0.16985999999999998</v>
      </c>
      <c r="I16" s="26"/>
      <c r="J16" s="46">
        <v>0.9</v>
      </c>
      <c r="K16" s="47">
        <v>2.0400000000000001E-2</v>
      </c>
      <c r="L16" s="1">
        <f>J16-(MIN($J$14:$J$48)+MAX($J$14:$J$48))/2</f>
        <v>0.4</v>
      </c>
      <c r="M16" s="8">
        <f>K16-(INDEX($K$14:$K$48,MATCH(MIN($J$14:$J$48),$J$14:$J$48,0))+INDEX($K$14:$K$48,MATCH(MAX($J$14:$J$48),$J$14:$J$48,0)))/2</f>
        <v>1.9600000000000003E-2</v>
      </c>
      <c r="O16" s="1">
        <f t="shared" si="39"/>
        <v>22.223040000000001</v>
      </c>
      <c r="P16" s="8">
        <f t="shared" si="40"/>
        <v>8.1532799999999988</v>
      </c>
      <c r="R16" s="1">
        <f t="shared" si="0"/>
        <v>72.01700554240962</v>
      </c>
      <c r="S16" s="8">
        <f t="shared" si="1"/>
        <v>46.488100833915986</v>
      </c>
      <c r="U16" s="1">
        <f t="shared" si="2"/>
        <v>70.277994152676541</v>
      </c>
      <c r="V16" s="8">
        <f t="shared" si="3"/>
        <v>30.109292176780272</v>
      </c>
      <c r="X16" s="1">
        <f t="shared" si="4"/>
        <v>60.782487438391918</v>
      </c>
      <c r="Y16" s="8">
        <f t="shared" si="5"/>
        <v>18.925522152201466</v>
      </c>
      <c r="AA16" s="1">
        <f t="shared" si="6"/>
        <v>51.781601910630968</v>
      </c>
      <c r="AB16" s="8">
        <f t="shared" si="7"/>
        <v>12.41965358941801</v>
      </c>
      <c r="AD16" s="1">
        <f t="shared" si="8"/>
        <v>44.515110746997692</v>
      </c>
      <c r="AE16" s="8">
        <f t="shared" si="9"/>
        <v>8.55146086038215</v>
      </c>
      <c r="AG16" s="1">
        <f t="shared" si="10"/>
        <v>38.796758093225755</v>
      </c>
      <c r="AH16" s="8">
        <f t="shared" si="11"/>
        <v>6.1348540837555365</v>
      </c>
      <c r="AJ16" s="1">
        <f t="shared" si="12"/>
        <v>34.267641198283563</v>
      </c>
      <c r="AK16" s="8">
        <f t="shared" si="13"/>
        <v>4.5500658780326928</v>
      </c>
      <c r="AM16" s="1">
        <f t="shared" si="14"/>
        <v>30.627091768011656</v>
      </c>
      <c r="AN16" s="8">
        <f t="shared" si="15"/>
        <v>3.466110582599319</v>
      </c>
      <c r="AP16" s="1">
        <f t="shared" si="16"/>
        <v>27.653199077364714</v>
      </c>
      <c r="AQ16" s="8">
        <f t="shared" si="17"/>
        <v>2.6979593664201071</v>
      </c>
      <c r="AS16" s="1">
        <f t="shared" si="18"/>
        <v>27.653199077364714</v>
      </c>
      <c r="AT16" s="8">
        <f t="shared" si="19"/>
        <v>2.6979593664201071</v>
      </c>
      <c r="AV16" s="1">
        <f t="shared" si="20"/>
        <v>0</v>
      </c>
      <c r="AW16" s="8">
        <f t="shared" si="21"/>
        <v>0</v>
      </c>
      <c r="AY16" s="1">
        <f t="shared" si="22"/>
        <v>0</v>
      </c>
      <c r="AZ16" s="8">
        <f t="shared" si="23"/>
        <v>0</v>
      </c>
      <c r="BB16" s="1">
        <f t="shared" si="24"/>
        <v>0</v>
      </c>
      <c r="BC16" s="8">
        <f t="shared" si="25"/>
        <v>0</v>
      </c>
      <c r="BE16" s="1">
        <f t="shared" si="26"/>
        <v>0</v>
      </c>
      <c r="BF16" s="8">
        <f t="shared" si="27"/>
        <v>0</v>
      </c>
      <c r="BH16" s="1">
        <f t="shared" si="28"/>
        <v>0</v>
      </c>
      <c r="BI16" s="8">
        <f t="shared" si="29"/>
        <v>0</v>
      </c>
      <c r="BK16" s="1">
        <f t="shared" si="30"/>
        <v>0</v>
      </c>
      <c r="BL16" s="8">
        <f t="shared" si="31"/>
        <v>0</v>
      </c>
      <c r="BN16" s="1">
        <f t="shared" si="32"/>
        <v>0</v>
      </c>
      <c r="BO16" s="8">
        <f t="shared" si="33"/>
        <v>0</v>
      </c>
      <c r="BQ16" s="1">
        <f t="shared" si="34"/>
        <v>0</v>
      </c>
      <c r="BR16" s="8">
        <f t="shared" si="35"/>
        <v>0</v>
      </c>
      <c r="BT16" s="1">
        <f t="shared" si="36"/>
        <v>0</v>
      </c>
      <c r="BU16" s="8">
        <f t="shared" si="37"/>
        <v>0</v>
      </c>
    </row>
    <row r="17" spans="1:73" x14ac:dyDescent="0.2">
      <c r="A17" s="57">
        <v>0.1575</v>
      </c>
      <c r="B17" s="57">
        <v>0.15896105999999999</v>
      </c>
      <c r="C17" s="57">
        <v>14.489496300000001</v>
      </c>
      <c r="D17" s="28"/>
      <c r="E17" s="32">
        <v>0.91934000000000005</v>
      </c>
      <c r="F17" s="35">
        <v>0.27232000000000001</v>
      </c>
      <c r="G17" s="34">
        <f>E17-(MIN($E$14:$E$46)+MAX($J$14:$J$48))/2</f>
        <v>0.41873000000000005</v>
      </c>
      <c r="H17" s="8">
        <f t="shared" si="38"/>
        <v>0.25488</v>
      </c>
      <c r="I17" s="26"/>
      <c r="J17" s="46">
        <v>0.8</v>
      </c>
      <c r="K17" s="47">
        <v>3.73E-2</v>
      </c>
      <c r="L17" s="1">
        <f>J17-(MIN($J$14:$J$48)+MAX($J$14:$J$48))/2</f>
        <v>0.30000000000000004</v>
      </c>
      <c r="M17" s="8">
        <f>K17-(INDEX($K$14:$K$48,MATCH(MIN($J$14:$J$48),$J$14:$J$48,0))+INDEX($K$14:$K$48,MATCH(MAX($J$14:$J$48),$J$14:$J$48,0)))/2</f>
        <v>3.6499999999999998E-2</v>
      </c>
      <c r="O17" s="1">
        <f t="shared" si="39"/>
        <v>20.099040000000002</v>
      </c>
      <c r="P17" s="8">
        <f t="shared" si="40"/>
        <v>12.23424</v>
      </c>
      <c r="R17" s="1">
        <f t="shared" si="0"/>
        <v>51.677082023451995</v>
      </c>
      <c r="S17" s="8">
        <f t="shared" si="1"/>
        <v>38.905450362032724</v>
      </c>
      <c r="U17" s="1">
        <f t="shared" si="2"/>
        <v>51.25869753943585</v>
      </c>
      <c r="V17" s="8">
        <f t="shared" si="3"/>
        <v>26.483159919584583</v>
      </c>
      <c r="X17" s="1">
        <f t="shared" si="4"/>
        <v>44.719826016193004</v>
      </c>
      <c r="Y17" s="8">
        <f t="shared" si="5"/>
        <v>17.549272118110903</v>
      </c>
      <c r="AA17" s="1">
        <f t="shared" si="6"/>
        <v>38.298903133469402</v>
      </c>
      <c r="AB17" s="8">
        <f t="shared" si="7"/>
        <v>12.163165112868583</v>
      </c>
      <c r="AD17" s="1">
        <f t="shared" si="8"/>
        <v>33.039987622004524</v>
      </c>
      <c r="AE17" s="8">
        <f t="shared" si="9"/>
        <v>8.8566401074719288</v>
      </c>
      <c r="AG17" s="1">
        <f t="shared" si="10"/>
        <v>28.867378451317361</v>
      </c>
      <c r="AH17" s="8">
        <f t="shared" si="11"/>
        <v>6.7268431947089509</v>
      </c>
      <c r="AJ17" s="1">
        <f t="shared" si="12"/>
        <v>25.54463882125788</v>
      </c>
      <c r="AK17" s="8">
        <f t="shared" si="13"/>
        <v>5.2877843656262584</v>
      </c>
      <c r="AM17" s="1">
        <f t="shared" si="14"/>
        <v>22.863462011036301</v>
      </c>
      <c r="AN17" s="8">
        <f t="shared" si="15"/>
        <v>4.273995422239774</v>
      </c>
      <c r="AP17" s="1">
        <f t="shared" si="16"/>
        <v>20.666883701161822</v>
      </c>
      <c r="AQ17" s="8">
        <f t="shared" si="17"/>
        <v>3.5341466392676812</v>
      </c>
      <c r="AS17" s="1">
        <f t="shared" si="18"/>
        <v>20.666883701161822</v>
      </c>
      <c r="AT17" s="8">
        <f t="shared" si="19"/>
        <v>3.5341466392676812</v>
      </c>
      <c r="AV17" s="1">
        <f t="shared" si="20"/>
        <v>0</v>
      </c>
      <c r="AW17" s="8">
        <f t="shared" si="21"/>
        <v>0</v>
      </c>
      <c r="AY17" s="1">
        <f t="shared" si="22"/>
        <v>0</v>
      </c>
      <c r="AZ17" s="8">
        <f t="shared" si="23"/>
        <v>0</v>
      </c>
      <c r="BB17" s="1">
        <f t="shared" si="24"/>
        <v>0</v>
      </c>
      <c r="BC17" s="8">
        <f t="shared" si="25"/>
        <v>0</v>
      </c>
      <c r="BE17" s="1">
        <f t="shared" si="26"/>
        <v>0</v>
      </c>
      <c r="BF17" s="8">
        <f t="shared" si="27"/>
        <v>0</v>
      </c>
      <c r="BH17" s="1">
        <f t="shared" si="28"/>
        <v>0</v>
      </c>
      <c r="BI17" s="8">
        <f t="shared" si="29"/>
        <v>0</v>
      </c>
      <c r="BK17" s="1">
        <f t="shared" si="30"/>
        <v>0</v>
      </c>
      <c r="BL17" s="8">
        <f t="shared" si="31"/>
        <v>0</v>
      </c>
      <c r="BN17" s="1">
        <f t="shared" si="32"/>
        <v>0</v>
      </c>
      <c r="BO17" s="8">
        <f t="shared" si="33"/>
        <v>0</v>
      </c>
      <c r="BQ17" s="1">
        <f t="shared" si="34"/>
        <v>0</v>
      </c>
      <c r="BR17" s="8">
        <f t="shared" si="35"/>
        <v>0</v>
      </c>
      <c r="BT17" s="1">
        <f t="shared" si="36"/>
        <v>0</v>
      </c>
      <c r="BU17" s="8">
        <f t="shared" si="37"/>
        <v>0</v>
      </c>
    </row>
    <row r="18" spans="1:73" x14ac:dyDescent="0.2">
      <c r="A18" s="57">
        <v>0.20250000000000001</v>
      </c>
      <c r="B18" s="57">
        <v>0.13296593000000001</v>
      </c>
      <c r="C18" s="57">
        <v>10.682186010000001</v>
      </c>
      <c r="D18" s="28"/>
      <c r="E18" s="32">
        <v>0.85967000000000005</v>
      </c>
      <c r="F18" s="35">
        <v>0.34733000000000003</v>
      </c>
      <c r="G18" s="34">
        <f>E18-(MIN($E$14:$E$46)+MAX($J$14:$J$48))/2</f>
        <v>0.35906000000000005</v>
      </c>
      <c r="H18" s="8">
        <f t="shared" si="38"/>
        <v>0.32989000000000002</v>
      </c>
      <c r="I18" s="26"/>
      <c r="J18" s="46">
        <v>0.7</v>
      </c>
      <c r="K18" s="47">
        <v>5.2499999999999998E-2</v>
      </c>
      <c r="L18" s="1">
        <f>J18-(MIN($J$14:$J$48)+MAX($J$14:$J$48))/2</f>
        <v>0.19999999999999996</v>
      </c>
      <c r="M18" s="8">
        <f>K18-(INDEX($K$14:$K$48,MATCH(MIN($J$14:$J$48),$J$14:$J$48,0))+INDEX($K$14:$K$48,MATCH(MAX($J$14:$J$48),$J$14:$J$48,0)))/2</f>
        <v>5.1699999999999996E-2</v>
      </c>
      <c r="O18" s="1">
        <f t="shared" si="39"/>
        <v>17.23488</v>
      </c>
      <c r="P18" s="8">
        <f t="shared" si="40"/>
        <v>15.834720000000001</v>
      </c>
      <c r="R18" s="1">
        <f t="shared" si="0"/>
        <v>31.519298074526628</v>
      </c>
      <c r="S18" s="8">
        <f t="shared" si="1"/>
        <v>31.007802777662622</v>
      </c>
      <c r="U18" s="1">
        <f t="shared" si="2"/>
        <v>32.35245857425118</v>
      </c>
      <c r="V18" s="8">
        <f t="shared" si="3"/>
        <v>22.552806362485267</v>
      </c>
      <c r="X18" s="1">
        <f t="shared" si="4"/>
        <v>28.724777770894125</v>
      </c>
      <c r="Y18" s="8">
        <f t="shared" si="5"/>
        <v>15.911383466739073</v>
      </c>
      <c r="AA18" s="1">
        <f t="shared" si="6"/>
        <v>24.858103764984719</v>
      </c>
      <c r="AB18" s="8">
        <f t="shared" si="7"/>
        <v>11.684551757173802</v>
      </c>
      <c r="AD18" s="1">
        <f t="shared" si="8"/>
        <v>21.591873086232187</v>
      </c>
      <c r="AE18" s="8">
        <f t="shared" si="9"/>
        <v>8.9713067130151494</v>
      </c>
      <c r="AG18" s="1">
        <f t="shared" si="10"/>
        <v>18.955949414988012</v>
      </c>
      <c r="AH18" s="8">
        <f t="shared" si="11"/>
        <v>7.1530665040927817</v>
      </c>
      <c r="AJ18" s="1">
        <f t="shared" si="12"/>
        <v>16.833808762198846</v>
      </c>
      <c r="AK18" s="8">
        <f t="shared" si="13"/>
        <v>5.8792689345467535</v>
      </c>
      <c r="AM18" s="1">
        <f t="shared" si="14"/>
        <v>15.10816512495329</v>
      </c>
      <c r="AN18" s="8">
        <f t="shared" si="15"/>
        <v>4.9513068111924534</v>
      </c>
      <c r="AP18" s="1">
        <f t="shared" si="16"/>
        <v>13.686262202558224</v>
      </c>
      <c r="AQ18" s="8">
        <f t="shared" si="17"/>
        <v>4.2525288160340882</v>
      </c>
      <c r="AS18" s="1">
        <f t="shared" si="18"/>
        <v>13.686262202558224</v>
      </c>
      <c r="AT18" s="8">
        <f t="shared" si="19"/>
        <v>4.2525288160340882</v>
      </c>
      <c r="AV18" s="1">
        <f t="shared" si="20"/>
        <v>0</v>
      </c>
      <c r="AW18" s="8">
        <f t="shared" si="21"/>
        <v>0</v>
      </c>
      <c r="AY18" s="1">
        <f t="shared" si="22"/>
        <v>0</v>
      </c>
      <c r="AZ18" s="8">
        <f t="shared" si="23"/>
        <v>0</v>
      </c>
      <c r="BB18" s="1">
        <f t="shared" si="24"/>
        <v>0</v>
      </c>
      <c r="BC18" s="8">
        <f t="shared" si="25"/>
        <v>0</v>
      </c>
      <c r="BE18" s="1">
        <f t="shared" si="26"/>
        <v>0</v>
      </c>
      <c r="BF18" s="8">
        <f t="shared" si="27"/>
        <v>0</v>
      </c>
      <c r="BH18" s="1">
        <f t="shared" si="28"/>
        <v>0</v>
      </c>
      <c r="BI18" s="8">
        <f t="shared" si="29"/>
        <v>0</v>
      </c>
      <c r="BK18" s="1">
        <f t="shared" si="30"/>
        <v>0</v>
      </c>
      <c r="BL18" s="8">
        <f t="shared" si="31"/>
        <v>0</v>
      </c>
      <c r="BN18" s="1">
        <f t="shared" si="32"/>
        <v>0</v>
      </c>
      <c r="BO18" s="8">
        <f t="shared" si="33"/>
        <v>0</v>
      </c>
      <c r="BQ18" s="1">
        <f t="shared" si="34"/>
        <v>0</v>
      </c>
      <c r="BR18" s="8">
        <f t="shared" si="35"/>
        <v>0</v>
      </c>
      <c r="BT18" s="1">
        <f t="shared" si="36"/>
        <v>0</v>
      </c>
      <c r="BU18" s="8">
        <f t="shared" si="37"/>
        <v>0</v>
      </c>
    </row>
    <row r="19" spans="1:73" x14ac:dyDescent="0.2">
      <c r="A19" s="57">
        <v>0.24750000000000003</v>
      </c>
      <c r="B19" s="57">
        <v>0.11318681999999999</v>
      </c>
      <c r="C19" s="57">
        <v>8.0689357800000003</v>
      </c>
      <c r="D19" s="28"/>
      <c r="E19" s="32">
        <v>0.78678999999999999</v>
      </c>
      <c r="F19" s="35">
        <v>0.40958</v>
      </c>
      <c r="G19" s="34">
        <f>E19-(MIN($E$14:$E$46)+MAX($J$14:$J$48))/2</f>
        <v>0.28617999999999999</v>
      </c>
      <c r="H19" s="8">
        <f t="shared" si="38"/>
        <v>0.39213999999999999</v>
      </c>
      <c r="I19" s="26"/>
      <c r="J19" s="46">
        <v>0.6</v>
      </c>
      <c r="K19" s="47">
        <v>6.6100000000000006E-2</v>
      </c>
      <c r="L19" s="1">
        <f>J19-(MIN($J$14:$J$48)+MAX($J$14:$J$48))/2</f>
        <v>9.9999999999999978E-2</v>
      </c>
      <c r="M19" s="8">
        <f>K19-(INDEX($K$14:$K$48,MATCH(MIN($J$14:$J$48),$J$14:$J$48,0))+INDEX($K$14:$K$48,MATCH(MAX($J$14:$J$48),$J$14:$J$48,0)))/2</f>
        <v>6.5300000000000011E-2</v>
      </c>
      <c r="O19" s="1">
        <f t="shared" si="39"/>
        <v>13.73664</v>
      </c>
      <c r="P19" s="8">
        <f t="shared" si="40"/>
        <v>18.82272</v>
      </c>
      <c r="R19" s="1">
        <f t="shared" si="0"/>
        <v>11.532939603278733</v>
      </c>
      <c r="S19" s="8">
        <f t="shared" si="1"/>
        <v>22.813687322716707</v>
      </c>
      <c r="U19" s="1">
        <f t="shared" si="2"/>
        <v>13.552626807236928</v>
      </c>
      <c r="V19" s="8">
        <f t="shared" si="3"/>
        <v>18.336126876064903</v>
      </c>
      <c r="X19" s="1">
        <f t="shared" si="4"/>
        <v>12.793365456795346</v>
      </c>
      <c r="Y19" s="8">
        <f t="shared" si="5"/>
        <v>14.027246704984874</v>
      </c>
      <c r="AA19" s="1">
        <f t="shared" si="6"/>
        <v>11.456739134078312</v>
      </c>
      <c r="AB19" s="8">
        <f t="shared" si="7"/>
        <v>10.996879691695169</v>
      </c>
      <c r="AD19" s="1">
        <f t="shared" si="8"/>
        <v>10.169178399138305</v>
      </c>
      <c r="AE19" s="8">
        <f t="shared" si="9"/>
        <v>8.9066673029851344</v>
      </c>
      <c r="AG19" s="1">
        <f t="shared" si="10"/>
        <v>9.061415066262489</v>
      </c>
      <c r="AH19" s="8">
        <f t="shared" si="11"/>
        <v>7.4232749414111261</v>
      </c>
      <c r="AJ19" s="1">
        <f t="shared" si="12"/>
        <v>8.1344350024025545</v>
      </c>
      <c r="AK19" s="8">
        <f t="shared" si="13"/>
        <v>6.3331215800102418</v>
      </c>
      <c r="AM19" s="1">
        <f t="shared" si="14"/>
        <v>7.3607109408866132</v>
      </c>
      <c r="AN19" s="8">
        <f t="shared" si="15"/>
        <v>5.5057255406742893</v>
      </c>
      <c r="AP19" s="1">
        <f t="shared" si="16"/>
        <v>6.7109996475775153</v>
      </c>
      <c r="AQ19" s="8">
        <f t="shared" si="17"/>
        <v>4.8600356082535185</v>
      </c>
      <c r="AS19" s="1">
        <f t="shared" si="18"/>
        <v>6.7109996475775153</v>
      </c>
      <c r="AT19" s="8">
        <f t="shared" si="19"/>
        <v>4.8600356082535185</v>
      </c>
      <c r="AV19" s="1">
        <f t="shared" si="20"/>
        <v>0</v>
      </c>
      <c r="AW19" s="8">
        <f t="shared" si="21"/>
        <v>0</v>
      </c>
      <c r="AY19" s="1">
        <f t="shared" si="22"/>
        <v>0</v>
      </c>
      <c r="AZ19" s="8">
        <f t="shared" si="23"/>
        <v>0</v>
      </c>
      <c r="BB19" s="1">
        <f t="shared" si="24"/>
        <v>0</v>
      </c>
      <c r="BC19" s="8">
        <f t="shared" si="25"/>
        <v>0</v>
      </c>
      <c r="BE19" s="1">
        <f t="shared" si="26"/>
        <v>0</v>
      </c>
      <c r="BF19" s="8">
        <f t="shared" si="27"/>
        <v>0</v>
      </c>
      <c r="BH19" s="1">
        <f t="shared" si="28"/>
        <v>0</v>
      </c>
      <c r="BI19" s="8">
        <f t="shared" si="29"/>
        <v>0</v>
      </c>
      <c r="BK19" s="1">
        <f t="shared" si="30"/>
        <v>0</v>
      </c>
      <c r="BL19" s="8">
        <f t="shared" si="31"/>
        <v>0</v>
      </c>
      <c r="BN19" s="1">
        <f t="shared" si="32"/>
        <v>0</v>
      </c>
      <c r="BO19" s="8">
        <f t="shared" si="33"/>
        <v>0</v>
      </c>
      <c r="BQ19" s="1">
        <f t="shared" si="34"/>
        <v>0</v>
      </c>
      <c r="BR19" s="8">
        <f t="shared" si="35"/>
        <v>0</v>
      </c>
      <c r="BT19" s="1">
        <f t="shared" si="36"/>
        <v>0</v>
      </c>
      <c r="BU19" s="8">
        <f t="shared" si="37"/>
        <v>0</v>
      </c>
    </row>
    <row r="20" spans="1:73" x14ac:dyDescent="0.2">
      <c r="A20" s="57">
        <v>0.29250000000000004</v>
      </c>
      <c r="B20" s="57">
        <v>9.8079349999999996E-2</v>
      </c>
      <c r="C20" s="57">
        <v>6.1804170100000002</v>
      </c>
      <c r="D20" s="28"/>
      <c r="E20" s="32">
        <v>0.70337000000000005</v>
      </c>
      <c r="F20" s="35">
        <v>0.45677000000000001</v>
      </c>
      <c r="G20" s="34">
        <f>E20-(MIN($E$14:$E$46)+MAX($J$14:$J$48))/2</f>
        <v>0.20276000000000005</v>
      </c>
      <c r="H20" s="8">
        <f t="shared" si="38"/>
        <v>0.43933</v>
      </c>
      <c r="I20" s="26"/>
      <c r="J20" s="46">
        <v>0.5</v>
      </c>
      <c r="K20" s="47">
        <v>7.7399999999999997E-2</v>
      </c>
      <c r="L20" s="1">
        <f>J20-(MIN($J$14:$J$48)+MAX($J$14:$J$48))/2</f>
        <v>0</v>
      </c>
      <c r="M20" s="8">
        <f>K20-(INDEX($K$14:$K$48,MATCH(MIN($J$14:$J$48),$J$14:$J$48,0))+INDEX($K$14:$K$48,MATCH(MAX($J$14:$J$48),$J$14:$J$48,0)))/2</f>
        <v>7.6600000000000001E-2</v>
      </c>
      <c r="O20" s="1">
        <f t="shared" si="39"/>
        <v>9.7324800000000042</v>
      </c>
      <c r="P20" s="8">
        <f t="shared" si="40"/>
        <v>21.08784</v>
      </c>
      <c r="R20" s="1">
        <f t="shared" si="0"/>
        <v>-8.2069947438078277</v>
      </c>
      <c r="S20" s="8">
        <f t="shared" si="1"/>
        <v>14.193399303818026</v>
      </c>
      <c r="U20" s="1">
        <f t="shared" si="2"/>
        <v>-5.0942446124073912</v>
      </c>
      <c r="V20" s="8">
        <f t="shared" si="3"/>
        <v>13.707853866245516</v>
      </c>
      <c r="X20" s="1">
        <f t="shared" si="4"/>
        <v>-3.0465702062033362</v>
      </c>
      <c r="Y20" s="8">
        <f t="shared" si="5"/>
        <v>11.789128284556016</v>
      </c>
      <c r="AA20" s="1">
        <f t="shared" si="6"/>
        <v>-1.8879380615593389</v>
      </c>
      <c r="AB20" s="8">
        <f t="shared" si="7"/>
        <v>10.00868573090224</v>
      </c>
      <c r="AD20" s="1">
        <f t="shared" si="8"/>
        <v>-1.2169752554803204</v>
      </c>
      <c r="AE20" s="8">
        <f t="shared" si="9"/>
        <v>8.584275495568594</v>
      </c>
      <c r="AG20" s="1">
        <f t="shared" si="10"/>
        <v>-0.8088331690325542</v>
      </c>
      <c r="AH20" s="8">
        <f t="shared" si="11"/>
        <v>7.4692120001353262</v>
      </c>
      <c r="AJ20" s="1">
        <f t="shared" si="12"/>
        <v>-0.54847032720355093</v>
      </c>
      <c r="AK20" s="8">
        <f t="shared" si="13"/>
        <v>6.5891283355042765</v>
      </c>
      <c r="AM20" s="1">
        <f t="shared" si="14"/>
        <v>-0.37546935903159734</v>
      </c>
      <c r="AN20" s="8">
        <f t="shared" si="15"/>
        <v>5.8834860721667805</v>
      </c>
      <c r="AP20" s="1">
        <f t="shared" si="16"/>
        <v>-0.25655942594530401</v>
      </c>
      <c r="AQ20" s="8">
        <f t="shared" si="17"/>
        <v>5.3081590351866623</v>
      </c>
      <c r="AS20" s="1">
        <f t="shared" si="18"/>
        <v>-0.25655942594530401</v>
      </c>
      <c r="AT20" s="8">
        <f t="shared" si="19"/>
        <v>5.3081590351866623</v>
      </c>
      <c r="AV20" s="1">
        <f t="shared" si="20"/>
        <v>0</v>
      </c>
      <c r="AW20" s="8">
        <f t="shared" si="21"/>
        <v>0</v>
      </c>
      <c r="AY20" s="1">
        <f t="shared" si="22"/>
        <v>0</v>
      </c>
      <c r="AZ20" s="8">
        <f t="shared" si="23"/>
        <v>0</v>
      </c>
      <c r="BB20" s="1">
        <f t="shared" si="24"/>
        <v>0</v>
      </c>
      <c r="BC20" s="8">
        <f t="shared" si="25"/>
        <v>0</v>
      </c>
      <c r="BE20" s="1">
        <f t="shared" si="26"/>
        <v>0</v>
      </c>
      <c r="BF20" s="8">
        <f t="shared" si="27"/>
        <v>0</v>
      </c>
      <c r="BH20" s="1">
        <f t="shared" si="28"/>
        <v>0</v>
      </c>
      <c r="BI20" s="8">
        <f t="shared" si="29"/>
        <v>0</v>
      </c>
      <c r="BK20" s="1">
        <f t="shared" si="30"/>
        <v>0</v>
      </c>
      <c r="BL20" s="8">
        <f t="shared" si="31"/>
        <v>0</v>
      </c>
      <c r="BN20" s="1">
        <f t="shared" si="32"/>
        <v>0</v>
      </c>
      <c r="BO20" s="8">
        <f t="shared" si="33"/>
        <v>0</v>
      </c>
      <c r="BQ20" s="1">
        <f t="shared" si="34"/>
        <v>0</v>
      </c>
      <c r="BR20" s="8">
        <f t="shared" si="35"/>
        <v>0</v>
      </c>
      <c r="BT20" s="1">
        <f t="shared" si="36"/>
        <v>0</v>
      </c>
      <c r="BU20" s="8">
        <f t="shared" si="37"/>
        <v>0</v>
      </c>
    </row>
    <row r="21" spans="1:73" x14ac:dyDescent="0.2">
      <c r="A21" s="57">
        <v>0.33750000000000002</v>
      </c>
      <c r="B21" s="57">
        <v>8.6317439999999995E-2</v>
      </c>
      <c r="C21" s="57">
        <v>4.7582556599999997</v>
      </c>
      <c r="D21" s="28"/>
      <c r="E21" s="32">
        <v>0.61248000000000002</v>
      </c>
      <c r="F21" s="35">
        <v>0.48719000000000001</v>
      </c>
      <c r="G21" s="34">
        <f>E21-(MIN($E$14:$E$46)+MAX($J$14:$J$48))/2</f>
        <v>0.11187000000000002</v>
      </c>
      <c r="H21" s="8">
        <f t="shared" si="38"/>
        <v>0.46975</v>
      </c>
      <c r="I21" s="26"/>
      <c r="J21" s="46">
        <v>0.4</v>
      </c>
      <c r="K21" s="47">
        <v>8.5900000000000004E-2</v>
      </c>
      <c r="L21" s="1">
        <f>J21-(MIN($J$14:$J$48)+MAX($J$14:$J$48))/2</f>
        <v>-9.9999999999999978E-2</v>
      </c>
      <c r="M21" s="8">
        <f>K21-(INDEX($K$14:$K$48,MATCH(MIN($J$14:$J$48),$J$14:$J$48,0))+INDEX($K$14:$K$48,MATCH(MAX($J$14:$J$48),$J$14:$J$48,0)))/2</f>
        <v>8.5100000000000009E-2</v>
      </c>
      <c r="O21" s="1">
        <f t="shared" si="39"/>
        <v>5.3697600000000012</v>
      </c>
      <c r="P21" s="8">
        <f t="shared" si="40"/>
        <v>22.548000000000002</v>
      </c>
      <c r="R21" s="1">
        <f t="shared" si="0"/>
        <v>-27.646934504958853</v>
      </c>
      <c r="S21" s="8">
        <f t="shared" si="1"/>
        <v>5.0542925114116368</v>
      </c>
      <c r="U21" s="1">
        <f t="shared" si="2"/>
        <v>-23.554903435253529</v>
      </c>
      <c r="V21" s="8">
        <f t="shared" si="3"/>
        <v>8.5785104801142893</v>
      </c>
      <c r="X21" s="1">
        <f t="shared" si="4"/>
        <v>-18.775142989601896</v>
      </c>
      <c r="Y21" s="8">
        <f t="shared" si="5"/>
        <v>9.1200756709580073</v>
      </c>
      <c r="AA21" s="1">
        <f t="shared" si="6"/>
        <v>-15.16360446643503</v>
      </c>
      <c r="AB21" s="8">
        <f t="shared" si="7"/>
        <v>8.6546390279875549</v>
      </c>
      <c r="AD21" s="1">
        <f t="shared" si="8"/>
        <v>-12.558644174911676</v>
      </c>
      <c r="AE21" s="8">
        <f t="shared" si="9"/>
        <v>7.9480981608988941</v>
      </c>
      <c r="AG21" s="1">
        <f t="shared" si="10"/>
        <v>-10.649515701020924</v>
      </c>
      <c r="AH21" s="8">
        <f t="shared" si="11"/>
        <v>7.24212303274492</v>
      </c>
      <c r="AJ21" s="1">
        <f t="shared" si="12"/>
        <v>-9.2113271330998661</v>
      </c>
      <c r="AK21" s="8">
        <f t="shared" si="13"/>
        <v>6.6042792249485496</v>
      </c>
      <c r="AM21" s="1">
        <f t="shared" si="14"/>
        <v>-8.0979249304212377</v>
      </c>
      <c r="AN21" s="8">
        <f t="shared" si="15"/>
        <v>6.046184449585291</v>
      </c>
      <c r="AP21" s="1">
        <f t="shared" si="16"/>
        <v>-7.2147403481280872</v>
      </c>
      <c r="AQ21" s="8">
        <f t="shared" si="17"/>
        <v>5.5622505391625925</v>
      </c>
      <c r="AS21" s="1">
        <f t="shared" si="18"/>
        <v>-7.2147403481280872</v>
      </c>
      <c r="AT21" s="8">
        <f t="shared" si="19"/>
        <v>5.5622505391625925</v>
      </c>
      <c r="AV21" s="1">
        <f t="shared" si="20"/>
        <v>0</v>
      </c>
      <c r="AW21" s="8">
        <f t="shared" si="21"/>
        <v>0</v>
      </c>
      <c r="AY21" s="1">
        <f t="shared" si="22"/>
        <v>0</v>
      </c>
      <c r="AZ21" s="8">
        <f t="shared" si="23"/>
        <v>0</v>
      </c>
      <c r="BB21" s="1">
        <f t="shared" si="24"/>
        <v>0</v>
      </c>
      <c r="BC21" s="8">
        <f t="shared" si="25"/>
        <v>0</v>
      </c>
      <c r="BE21" s="1">
        <f t="shared" si="26"/>
        <v>0</v>
      </c>
      <c r="BF21" s="8">
        <f t="shared" si="27"/>
        <v>0</v>
      </c>
      <c r="BH21" s="1">
        <f t="shared" si="28"/>
        <v>0</v>
      </c>
      <c r="BI21" s="8">
        <f t="shared" si="29"/>
        <v>0</v>
      </c>
      <c r="BK21" s="1">
        <f t="shared" si="30"/>
        <v>0</v>
      </c>
      <c r="BL21" s="8">
        <f t="shared" si="31"/>
        <v>0</v>
      </c>
      <c r="BN21" s="1">
        <f t="shared" si="32"/>
        <v>0</v>
      </c>
      <c r="BO21" s="8">
        <f t="shared" si="33"/>
        <v>0</v>
      </c>
      <c r="BQ21" s="1">
        <f t="shared" si="34"/>
        <v>0</v>
      </c>
      <c r="BR21" s="8">
        <f t="shared" si="35"/>
        <v>0</v>
      </c>
      <c r="BT21" s="1">
        <f t="shared" si="36"/>
        <v>0</v>
      </c>
      <c r="BU21" s="8">
        <f t="shared" si="37"/>
        <v>0</v>
      </c>
    </row>
    <row r="22" spans="1:73" x14ac:dyDescent="0.2">
      <c r="A22" s="57">
        <v>0.38250000000000001</v>
      </c>
      <c r="B22" s="57">
        <v>7.6964160000000004E-2</v>
      </c>
      <c r="C22" s="57">
        <v>3.6515214999999999</v>
      </c>
      <c r="D22" s="28"/>
      <c r="E22" s="32">
        <v>0.51744999999999997</v>
      </c>
      <c r="F22" s="35">
        <v>0.49969999999999998</v>
      </c>
      <c r="G22" s="34">
        <f>E22-(MIN($E$14:$E$46)+MAX($J$14:$J$48))/2</f>
        <v>1.6839999999999966E-2</v>
      </c>
      <c r="H22" s="8">
        <f t="shared" si="38"/>
        <v>0.48225999999999997</v>
      </c>
      <c r="I22" s="26"/>
      <c r="J22" s="46">
        <v>0.3</v>
      </c>
      <c r="K22" s="47">
        <v>9.0499999999999997E-2</v>
      </c>
      <c r="L22" s="1">
        <f>J22-(MIN($J$14:$J$48)+MAX($J$14:$J$48))/2</f>
        <v>-0.2</v>
      </c>
      <c r="M22" s="8">
        <f>K22-(INDEX($K$14:$K$48,MATCH(MIN($J$14:$J$48),$J$14:$J$48,0))+INDEX($K$14:$K$48,MATCH(MAX($J$14:$J$48),$J$14:$J$48,0)))/2</f>
        <v>8.9700000000000002E-2</v>
      </c>
      <c r="O22" s="1">
        <f t="shared" si="39"/>
        <v>0.80831999999999848</v>
      </c>
      <c r="P22" s="8">
        <f t="shared" si="40"/>
        <v>23.148479999999999</v>
      </c>
      <c r="R22" s="1">
        <f t="shared" si="0"/>
        <v>-46.669024664271113</v>
      </c>
      <c r="S22" s="8">
        <f t="shared" si="1"/>
        <v>-4.8074547155233534</v>
      </c>
      <c r="U22" s="1">
        <f t="shared" si="2"/>
        <v>-41.756194712559356</v>
      </c>
      <c r="V22" s="8">
        <f t="shared" si="3"/>
        <v>2.7512476412629825</v>
      </c>
      <c r="X22" s="1">
        <f t="shared" si="4"/>
        <v>-34.348603190700295</v>
      </c>
      <c r="Y22" s="8">
        <f t="shared" si="5"/>
        <v>5.8507932883029694</v>
      </c>
      <c r="AA22" s="1">
        <f t="shared" si="6"/>
        <v>-28.343148698463715</v>
      </c>
      <c r="AB22" s="8">
        <f t="shared" si="7"/>
        <v>6.791011719974712</v>
      </c>
      <c r="AD22" s="1">
        <f t="shared" si="8"/>
        <v>-23.838352213189339</v>
      </c>
      <c r="AE22" s="8">
        <f t="shared" si="9"/>
        <v>6.8748624132694349</v>
      </c>
      <c r="AG22" s="1">
        <f t="shared" si="10"/>
        <v>-20.449017431975005</v>
      </c>
      <c r="AH22" s="8">
        <f t="shared" si="11"/>
        <v>6.6347478146948813</v>
      </c>
      <c r="AJ22" s="1">
        <f t="shared" si="12"/>
        <v>-17.846259209543266</v>
      </c>
      <c r="AK22" s="8">
        <f t="shared" si="13"/>
        <v>6.2839523009663631</v>
      </c>
      <c r="AM22" s="1">
        <f t="shared" si="14"/>
        <v>-15.801263915646089</v>
      </c>
      <c r="AN22" s="8">
        <f t="shared" si="15"/>
        <v>5.9093319695436115</v>
      </c>
      <c r="AP22" s="1">
        <f t="shared" si="16"/>
        <v>-14.15985884523011</v>
      </c>
      <c r="AQ22" s="8">
        <f t="shared" si="17"/>
        <v>5.5460832933052595</v>
      </c>
      <c r="AS22" s="1">
        <f t="shared" si="18"/>
        <v>-14.15985884523011</v>
      </c>
      <c r="AT22" s="8">
        <f t="shared" si="19"/>
        <v>5.5460832933052595</v>
      </c>
      <c r="AV22" s="1">
        <f t="shared" si="20"/>
        <v>0</v>
      </c>
      <c r="AW22" s="8">
        <f t="shared" si="21"/>
        <v>0</v>
      </c>
      <c r="AY22" s="1">
        <f t="shared" si="22"/>
        <v>0</v>
      </c>
      <c r="AZ22" s="8">
        <f t="shared" si="23"/>
        <v>0</v>
      </c>
      <c r="BB22" s="1">
        <f t="shared" si="24"/>
        <v>0</v>
      </c>
      <c r="BC22" s="8">
        <f t="shared" si="25"/>
        <v>0</v>
      </c>
      <c r="BE22" s="1">
        <f t="shared" si="26"/>
        <v>0</v>
      </c>
      <c r="BF22" s="8">
        <f t="shared" si="27"/>
        <v>0</v>
      </c>
      <c r="BH22" s="1">
        <f t="shared" si="28"/>
        <v>0</v>
      </c>
      <c r="BI22" s="8">
        <f t="shared" si="29"/>
        <v>0</v>
      </c>
      <c r="BK22" s="1">
        <f t="shared" si="30"/>
        <v>0</v>
      </c>
      <c r="BL22" s="8">
        <f t="shared" si="31"/>
        <v>0</v>
      </c>
      <c r="BN22" s="1">
        <f t="shared" si="32"/>
        <v>0</v>
      </c>
      <c r="BO22" s="8">
        <f t="shared" si="33"/>
        <v>0</v>
      </c>
      <c r="BQ22" s="1">
        <f t="shared" si="34"/>
        <v>0</v>
      </c>
      <c r="BR22" s="8">
        <f t="shared" si="35"/>
        <v>0</v>
      </c>
      <c r="BT22" s="1">
        <f t="shared" si="36"/>
        <v>0</v>
      </c>
      <c r="BU22" s="8">
        <f t="shared" si="37"/>
        <v>0</v>
      </c>
    </row>
    <row r="23" spans="1:73" x14ac:dyDescent="0.2">
      <c r="A23" s="57">
        <v>0.42749999999999999</v>
      </c>
      <c r="B23" s="57">
        <v>6.9378010000000004E-2</v>
      </c>
      <c r="C23" s="57">
        <v>2.7671253999999998</v>
      </c>
      <c r="D23" s="28"/>
      <c r="E23" s="32">
        <v>0.42177999999999999</v>
      </c>
      <c r="F23" s="35">
        <v>0.49384</v>
      </c>
      <c r="G23" s="34">
        <f>E23-(MIN($E$14:$E$46)+MAX($J$14:$J$48))/2</f>
        <v>-7.8830000000000011E-2</v>
      </c>
      <c r="H23" s="8">
        <f t="shared" si="38"/>
        <v>0.47639999999999999</v>
      </c>
      <c r="I23" s="26"/>
      <c r="J23" s="46">
        <v>0.25</v>
      </c>
      <c r="K23" s="47">
        <v>9.0800000000000006E-2</v>
      </c>
      <c r="L23" s="1">
        <f>J23-(MIN($J$14:$J$48)+MAX($J$14:$J$48))/2</f>
        <v>-0.25</v>
      </c>
      <c r="M23" s="8">
        <f>K23-(INDEX($K$14:$K$48,MATCH(MIN($J$14:$J$48),$J$14:$J$48,0))+INDEX($K$14:$K$48,MATCH(MAX($J$14:$J$48),$J$14:$J$48,0)))/2</f>
        <v>9.0000000000000011E-2</v>
      </c>
      <c r="N23" s="15"/>
      <c r="O23" s="1">
        <f t="shared" si="39"/>
        <v>-3.7838400000000005</v>
      </c>
      <c r="P23" s="8">
        <f t="shared" si="40"/>
        <v>22.8672</v>
      </c>
      <c r="R23" s="1">
        <f t="shared" si="0"/>
        <v>-55.965787896830427</v>
      </c>
      <c r="S23" s="8">
        <f t="shared" si="1"/>
        <v>-10.108913167210636</v>
      </c>
      <c r="U23" s="1">
        <f t="shared" si="2"/>
        <v>-50.723831353499286</v>
      </c>
      <c r="V23" s="8">
        <f t="shared" si="3"/>
        <v>-0.52029118981398426</v>
      </c>
      <c r="X23" s="1">
        <f t="shared" si="4"/>
        <v>-42.055788377249392</v>
      </c>
      <c r="Y23" s="8">
        <f t="shared" si="5"/>
        <v>3.9083419589974864</v>
      </c>
      <c r="AA23" s="1">
        <f t="shared" si="6"/>
        <v>-34.883627392505232</v>
      </c>
      <c r="AB23" s="8">
        <f t="shared" si="7"/>
        <v>5.5978746787384708</v>
      </c>
      <c r="AD23" s="1">
        <f t="shared" si="8"/>
        <v>-29.446431421480121</v>
      </c>
      <c r="AE23" s="8">
        <f t="shared" si="9"/>
        <v>6.1141120199881636</v>
      </c>
      <c r="AG23" s="1">
        <f t="shared" si="10"/>
        <v>-25.327649937947271</v>
      </c>
      <c r="AH23" s="8">
        <f t="shared" si="11"/>
        <v>6.1360416155880007</v>
      </c>
      <c r="AJ23" s="1">
        <f t="shared" si="12"/>
        <v>-22.149404873686542</v>
      </c>
      <c r="AK23" s="8">
        <f t="shared" si="13"/>
        <v>5.9517489346540122</v>
      </c>
      <c r="AM23" s="1">
        <f t="shared" si="14"/>
        <v>-19.643130030738106</v>
      </c>
      <c r="AN23" s="8">
        <f t="shared" si="15"/>
        <v>5.6872899051842163</v>
      </c>
      <c r="AP23" s="1">
        <f t="shared" si="16"/>
        <v>-17.625719414252519</v>
      </c>
      <c r="AQ23" s="8">
        <f t="shared" si="17"/>
        <v>5.3994054396928677</v>
      </c>
      <c r="AS23" s="1">
        <f t="shared" si="18"/>
        <v>-17.625719414252519</v>
      </c>
      <c r="AT23" s="8">
        <f t="shared" si="19"/>
        <v>5.3994054396928677</v>
      </c>
      <c r="AV23" s="1">
        <f t="shared" si="20"/>
        <v>0</v>
      </c>
      <c r="AW23" s="8">
        <f t="shared" si="21"/>
        <v>0</v>
      </c>
      <c r="AY23" s="1">
        <f t="shared" si="22"/>
        <v>0</v>
      </c>
      <c r="AZ23" s="8">
        <f t="shared" si="23"/>
        <v>0</v>
      </c>
      <c r="BB23" s="1">
        <f t="shared" si="24"/>
        <v>0</v>
      </c>
      <c r="BC23" s="8">
        <f t="shared" si="25"/>
        <v>0</v>
      </c>
      <c r="BE23" s="1">
        <f t="shared" si="26"/>
        <v>0</v>
      </c>
      <c r="BF23" s="8">
        <f t="shared" si="27"/>
        <v>0</v>
      </c>
      <c r="BH23" s="1">
        <f t="shared" si="28"/>
        <v>0</v>
      </c>
      <c r="BI23" s="8">
        <f t="shared" si="29"/>
        <v>0</v>
      </c>
      <c r="BK23" s="1">
        <f t="shared" si="30"/>
        <v>0</v>
      </c>
      <c r="BL23" s="8">
        <f t="shared" si="31"/>
        <v>0</v>
      </c>
      <c r="BN23" s="1">
        <f t="shared" si="32"/>
        <v>0</v>
      </c>
      <c r="BO23" s="8">
        <f t="shared" si="33"/>
        <v>0</v>
      </c>
      <c r="BQ23" s="1">
        <f t="shared" si="34"/>
        <v>0</v>
      </c>
      <c r="BR23" s="8">
        <f t="shared" si="35"/>
        <v>0</v>
      </c>
      <c r="BT23" s="1">
        <f t="shared" si="36"/>
        <v>0</v>
      </c>
      <c r="BU23" s="8">
        <f t="shared" si="37"/>
        <v>0</v>
      </c>
    </row>
    <row r="24" spans="1:73" x14ac:dyDescent="0.2">
      <c r="A24" s="57">
        <v>0.45</v>
      </c>
      <c r="B24" s="57">
        <v>6.9378010000000004E-2</v>
      </c>
      <c r="C24" s="57">
        <v>2.7671253999999998</v>
      </c>
      <c r="D24" s="28"/>
      <c r="E24" s="32">
        <v>0.32899</v>
      </c>
      <c r="F24" s="35">
        <v>0.46984999999999999</v>
      </c>
      <c r="G24" s="34">
        <f>E24-(MIN($E$14:$E$46)+MAX($J$14:$J$48))/2</f>
        <v>-0.17161999999999999</v>
      </c>
      <c r="H24" s="8">
        <f t="shared" si="38"/>
        <v>0.45240999999999998</v>
      </c>
      <c r="I24" s="26"/>
      <c r="J24" s="46">
        <v>0.2</v>
      </c>
      <c r="K24" s="47">
        <v>8.9200000000000002E-2</v>
      </c>
      <c r="L24" s="1">
        <f>J24-(MIN($J$14:$J$48)+MAX($J$14:$J$48))/2</f>
        <v>-0.3</v>
      </c>
      <c r="M24" s="8">
        <f>K24-(INDEX($K$14:$K$48,MATCH(MIN($J$14:$J$48),$J$14:$J$48,0))+INDEX($K$14:$K$48,MATCH(MAX($J$14:$J$48),$J$14:$J$48,0)))/2</f>
        <v>8.8400000000000006E-2</v>
      </c>
      <c r="N24" s="15"/>
      <c r="O24" s="1">
        <f t="shared" si="39"/>
        <v>-8.2377599999999997</v>
      </c>
      <c r="P24" s="8">
        <f t="shared" si="40"/>
        <v>21.715680000000003</v>
      </c>
      <c r="R24" s="1">
        <f t="shared" si="0"/>
        <v>-65.058983374647781</v>
      </c>
      <c r="S24" s="8">
        <f t="shared" si="1"/>
        <v>-15.762427215206722</v>
      </c>
      <c r="U24" s="1">
        <f t="shared" si="2"/>
        <v>-59.565109446611849</v>
      </c>
      <c r="V24" s="8">
        <f t="shared" si="3"/>
        <v>-4.1318420619597074</v>
      </c>
      <c r="X24" s="1">
        <f t="shared" si="4"/>
        <v>-49.687405895498429</v>
      </c>
      <c r="Y24" s="8">
        <f t="shared" si="5"/>
        <v>1.6734709986129386</v>
      </c>
      <c r="AA24" s="1">
        <f t="shared" si="6"/>
        <v>-41.377277335672545</v>
      </c>
      <c r="AB24" s="8">
        <f t="shared" si="7"/>
        <v>4.1564804196338949</v>
      </c>
      <c r="AD24" s="1">
        <f t="shared" si="8"/>
        <v>-35.024324559465249</v>
      </c>
      <c r="AE24" s="8">
        <f t="shared" si="9"/>
        <v>5.1404357332136748</v>
      </c>
      <c r="AG24" s="1">
        <f t="shared" si="10"/>
        <v>-30.186220002390016</v>
      </c>
      <c r="AH24" s="8">
        <f t="shared" si="11"/>
        <v>5.4520677559033501</v>
      </c>
      <c r="AJ24" s="1">
        <f t="shared" si="12"/>
        <v>-26.438946182455311</v>
      </c>
      <c r="AK24" s="8">
        <f t="shared" si="13"/>
        <v>5.4561076592364603</v>
      </c>
      <c r="AM24" s="1">
        <f t="shared" si="14"/>
        <v>-23.475682937185734</v>
      </c>
      <c r="AN24" s="8">
        <f t="shared" si="15"/>
        <v>5.3193128077031879</v>
      </c>
      <c r="AP24" s="1">
        <f t="shared" si="16"/>
        <v>-21.085216237722765</v>
      </c>
      <c r="AQ24" s="8">
        <f t="shared" si="17"/>
        <v>5.1210630669309376</v>
      </c>
      <c r="AS24" s="1">
        <f t="shared" si="18"/>
        <v>-21.085216237722765</v>
      </c>
      <c r="AT24" s="8">
        <f t="shared" si="19"/>
        <v>5.1210630669309376</v>
      </c>
      <c r="AV24" s="1">
        <f t="shared" si="20"/>
        <v>0</v>
      </c>
      <c r="AW24" s="8">
        <f t="shared" si="21"/>
        <v>0</v>
      </c>
      <c r="AY24" s="1">
        <f t="shared" si="22"/>
        <v>0</v>
      </c>
      <c r="AZ24" s="8">
        <f t="shared" si="23"/>
        <v>0</v>
      </c>
      <c r="BB24" s="1">
        <f t="shared" si="24"/>
        <v>0</v>
      </c>
      <c r="BC24" s="8">
        <f t="shared" si="25"/>
        <v>0</v>
      </c>
      <c r="BE24" s="1">
        <f t="shared" si="26"/>
        <v>0</v>
      </c>
      <c r="BF24" s="8">
        <f t="shared" si="27"/>
        <v>0</v>
      </c>
      <c r="BH24" s="1">
        <f t="shared" si="28"/>
        <v>0</v>
      </c>
      <c r="BI24" s="8">
        <f t="shared" si="29"/>
        <v>0</v>
      </c>
      <c r="BK24" s="1">
        <f t="shared" si="30"/>
        <v>0</v>
      </c>
      <c r="BL24" s="8">
        <f t="shared" si="31"/>
        <v>0</v>
      </c>
      <c r="BN24" s="1">
        <f t="shared" si="32"/>
        <v>0</v>
      </c>
      <c r="BO24" s="8">
        <f t="shared" si="33"/>
        <v>0</v>
      </c>
      <c r="BQ24" s="1">
        <f t="shared" si="34"/>
        <v>0</v>
      </c>
      <c r="BR24" s="8">
        <f t="shared" si="35"/>
        <v>0</v>
      </c>
      <c r="BT24" s="1">
        <f t="shared" si="36"/>
        <v>0</v>
      </c>
      <c r="BU24" s="8">
        <f t="shared" si="37"/>
        <v>0</v>
      </c>
    </row>
    <row r="25" spans="1:73" x14ac:dyDescent="0.2">
      <c r="E25" s="32">
        <v>0.24248</v>
      </c>
      <c r="F25" s="35">
        <v>0.42858000000000002</v>
      </c>
      <c r="G25" s="34">
        <f>E25-(MIN($E$14:$E$46)+MAX($J$14:$J$48))/2</f>
        <v>-0.25812999999999997</v>
      </c>
      <c r="H25" s="8">
        <f t="shared" si="38"/>
        <v>0.41114000000000001</v>
      </c>
      <c r="I25" s="26"/>
      <c r="J25" s="46">
        <v>0.15</v>
      </c>
      <c r="K25" s="47">
        <v>8.5199999999999998E-2</v>
      </c>
      <c r="L25" s="1">
        <f>J25-(MIN($J$14:$J$48)+MAX($J$14:$J$48))/2</f>
        <v>-0.35</v>
      </c>
      <c r="M25" s="8">
        <f>K25-(INDEX($K$14:$K$48,MATCH(MIN($J$14:$J$48),$J$14:$J$48,0))+INDEX($K$14:$K$48,MATCH(MAX($J$14:$J$48),$J$14:$J$48,0)))/2</f>
        <v>8.4400000000000003E-2</v>
      </c>
      <c r="N25" s="15"/>
      <c r="O25" s="1">
        <f t="shared" si="39"/>
        <v>-12.390239999999999</v>
      </c>
      <c r="P25" s="8">
        <f t="shared" si="40"/>
        <v>19.734719999999999</v>
      </c>
      <c r="R25" s="1">
        <f t="shared" si="0"/>
        <v>-73.895040635948959</v>
      </c>
      <c r="S25" s="8">
        <f t="shared" si="1"/>
        <v>-21.860643069066558</v>
      </c>
      <c r="U25" s="1">
        <f t="shared" si="2"/>
        <v>-68.246776742468853</v>
      </c>
      <c r="V25" s="8">
        <f t="shared" si="3"/>
        <v>-8.1728818280870161</v>
      </c>
      <c r="X25" s="1">
        <f t="shared" si="4"/>
        <v>-57.223569516947343</v>
      </c>
      <c r="Y25" s="8">
        <f t="shared" si="5"/>
        <v>-0.93077212734516546</v>
      </c>
      <c r="AA25" s="1">
        <f t="shared" si="6"/>
        <v>-47.811775172472473</v>
      </c>
      <c r="AB25" s="8">
        <f t="shared" si="7"/>
        <v>2.4014980958535297</v>
      </c>
      <c r="AD25" s="1">
        <f t="shared" si="8"/>
        <v>-40.564087924432727</v>
      </c>
      <c r="AE25" s="8">
        <f t="shared" si="9"/>
        <v>3.8978004230793366</v>
      </c>
      <c r="AG25" s="1">
        <f t="shared" si="10"/>
        <v>-35.019448035427047</v>
      </c>
      <c r="AH25" s="8">
        <f t="shared" si="11"/>
        <v>4.5340715881204643</v>
      </c>
      <c r="AJ25" s="1">
        <f t="shared" si="12"/>
        <v>-30.71130304232998</v>
      </c>
      <c r="AK25" s="8">
        <f t="shared" si="13"/>
        <v>4.7540184986333962</v>
      </c>
      <c r="AM25" s="1">
        <f t="shared" si="14"/>
        <v>-27.296471790608873</v>
      </c>
      <c r="AN25" s="8">
        <f t="shared" si="15"/>
        <v>4.7669967210158912</v>
      </c>
      <c r="AP25" s="1">
        <f t="shared" si="16"/>
        <v>-24.536674645758687</v>
      </c>
      <c r="AQ25" s="8">
        <f t="shared" si="17"/>
        <v>4.6764076173485378</v>
      </c>
      <c r="AS25" s="1">
        <f t="shared" si="18"/>
        <v>-24.536674645758687</v>
      </c>
      <c r="AT25" s="8">
        <f t="shared" si="19"/>
        <v>4.6764076173485378</v>
      </c>
      <c r="AV25" s="1">
        <f t="shared" si="20"/>
        <v>0</v>
      </c>
      <c r="AW25" s="8">
        <f t="shared" si="21"/>
        <v>0</v>
      </c>
      <c r="AY25" s="1">
        <f t="shared" si="22"/>
        <v>0</v>
      </c>
      <c r="AZ25" s="8">
        <f t="shared" si="23"/>
        <v>0</v>
      </c>
      <c r="BB25" s="1">
        <f t="shared" si="24"/>
        <v>0</v>
      </c>
      <c r="BC25" s="8">
        <f t="shared" si="25"/>
        <v>0</v>
      </c>
      <c r="BE25" s="1">
        <f t="shared" si="26"/>
        <v>0</v>
      </c>
      <c r="BF25" s="8">
        <f t="shared" si="27"/>
        <v>0</v>
      </c>
      <c r="BH25" s="1">
        <f t="shared" si="28"/>
        <v>0</v>
      </c>
      <c r="BI25" s="8">
        <f t="shared" si="29"/>
        <v>0</v>
      </c>
      <c r="BK25" s="1">
        <f t="shared" si="30"/>
        <v>0</v>
      </c>
      <c r="BL25" s="8">
        <f t="shared" si="31"/>
        <v>0</v>
      </c>
      <c r="BN25" s="1">
        <f t="shared" si="32"/>
        <v>0</v>
      </c>
      <c r="BO25" s="8">
        <f t="shared" si="33"/>
        <v>0</v>
      </c>
      <c r="BQ25" s="1">
        <f t="shared" si="34"/>
        <v>0</v>
      </c>
      <c r="BR25" s="8">
        <f t="shared" si="35"/>
        <v>0</v>
      </c>
      <c r="BT25" s="1">
        <f t="shared" si="36"/>
        <v>0</v>
      </c>
      <c r="BU25" s="8">
        <f t="shared" si="37"/>
        <v>0</v>
      </c>
    </row>
    <row r="26" spans="1:73" x14ac:dyDescent="0.2">
      <c r="E26" s="32">
        <v>0.16542999999999999</v>
      </c>
      <c r="F26" s="35">
        <v>0.37157000000000001</v>
      </c>
      <c r="G26" s="34">
        <f>E26-(MIN($E$14:$E$46)+MAX($J$14:$J$48))/2</f>
        <v>-0.33518000000000003</v>
      </c>
      <c r="H26" s="8">
        <f t="shared" si="38"/>
        <v>0.35413</v>
      </c>
      <c r="I26" s="26"/>
      <c r="J26" s="46">
        <v>0.1</v>
      </c>
      <c r="K26" s="47">
        <v>7.6399999999999996E-2</v>
      </c>
      <c r="L26" s="1">
        <f>J26-(MIN($J$14:$J$48)+MAX($J$14:$J$48))/2</f>
        <v>-0.4</v>
      </c>
      <c r="M26" s="8">
        <f>K26-(INDEX($K$14:$K$48,MATCH(MIN($J$14:$J$48),$J$14:$J$48,0))+INDEX($K$14:$K$48,MATCH(MAX($J$14:$J$48),$J$14:$J$48,0)))/2</f>
        <v>7.5600000000000001E-2</v>
      </c>
      <c r="O26" s="1">
        <f t="shared" si="39"/>
        <v>-16.088640000000002</v>
      </c>
      <c r="P26" s="8">
        <f t="shared" si="40"/>
        <v>16.998240000000003</v>
      </c>
      <c r="R26" s="1">
        <f t="shared" si="0"/>
        <v>-82.216821464217787</v>
      </c>
      <c r="S26" s="8">
        <f t="shared" si="1"/>
        <v>-28.848262534653902</v>
      </c>
      <c r="U26" s="1">
        <f t="shared" si="2"/>
        <v>-76.609222443814701</v>
      </c>
      <c r="V26" s="8">
        <f t="shared" si="3"/>
        <v>-13.072899382177489</v>
      </c>
      <c r="X26" s="1">
        <f t="shared" si="4"/>
        <v>-64.568825344796068</v>
      </c>
      <c r="Y26" s="8">
        <f t="shared" si="5"/>
        <v>-4.2737595844503868</v>
      </c>
      <c r="AA26" s="1">
        <f t="shared" si="6"/>
        <v>-54.127968796537623</v>
      </c>
      <c r="AB26" s="8">
        <f t="shared" si="7"/>
        <v>1.9339642721586739E-2</v>
      </c>
      <c r="AD26" s="1">
        <f t="shared" si="8"/>
        <v>-46.027591743364873</v>
      </c>
      <c r="AE26" s="8">
        <f t="shared" si="9"/>
        <v>2.1172470662252931</v>
      </c>
      <c r="AG26" s="1">
        <f t="shared" si="10"/>
        <v>-39.801992005652636</v>
      </c>
      <c r="AH26" s="8">
        <f t="shared" si="11"/>
        <v>3.1480308041411078</v>
      </c>
      <c r="AJ26" s="1">
        <f t="shared" si="12"/>
        <v>-34.949291004416438</v>
      </c>
      <c r="AK26" s="8">
        <f t="shared" si="13"/>
        <v>3.6390335676593071</v>
      </c>
      <c r="AM26" s="1">
        <f t="shared" si="14"/>
        <v>-31.09373253798304</v>
      </c>
      <c r="AN26" s="8">
        <f t="shared" si="15"/>
        <v>3.8460026559160521</v>
      </c>
      <c r="AP26" s="1">
        <f t="shared" si="16"/>
        <v>-27.972056222925978</v>
      </c>
      <c r="AQ26" s="8">
        <f t="shared" si="17"/>
        <v>3.8991260141251973</v>
      </c>
      <c r="AS26" s="1">
        <f t="shared" si="18"/>
        <v>-27.972056222925978</v>
      </c>
      <c r="AT26" s="8">
        <f t="shared" si="19"/>
        <v>3.8991260141251973</v>
      </c>
      <c r="AV26" s="1">
        <f t="shared" si="20"/>
        <v>0</v>
      </c>
      <c r="AW26" s="8">
        <f t="shared" si="21"/>
        <v>0</v>
      </c>
      <c r="AY26" s="1">
        <f t="shared" si="22"/>
        <v>0</v>
      </c>
      <c r="AZ26" s="8">
        <f t="shared" si="23"/>
        <v>0</v>
      </c>
      <c r="BB26" s="1">
        <f t="shared" si="24"/>
        <v>0</v>
      </c>
      <c r="BC26" s="8">
        <f t="shared" si="25"/>
        <v>0</v>
      </c>
      <c r="BE26" s="1">
        <f t="shared" si="26"/>
        <v>0</v>
      </c>
      <c r="BF26" s="8">
        <f t="shared" si="27"/>
        <v>0</v>
      </c>
      <c r="BH26" s="1">
        <f t="shared" si="28"/>
        <v>0</v>
      </c>
      <c r="BI26" s="8">
        <f t="shared" si="29"/>
        <v>0</v>
      </c>
      <c r="BK26" s="1">
        <f t="shared" si="30"/>
        <v>0</v>
      </c>
      <c r="BL26" s="8">
        <f t="shared" si="31"/>
        <v>0</v>
      </c>
      <c r="BN26" s="1">
        <f t="shared" si="32"/>
        <v>0</v>
      </c>
      <c r="BO26" s="8">
        <f t="shared" si="33"/>
        <v>0</v>
      </c>
      <c r="BQ26" s="1">
        <f t="shared" si="34"/>
        <v>0</v>
      </c>
      <c r="BR26" s="8">
        <f t="shared" si="35"/>
        <v>0</v>
      </c>
      <c r="BT26" s="1">
        <f t="shared" si="36"/>
        <v>0</v>
      </c>
      <c r="BU26" s="8">
        <f t="shared" si="37"/>
        <v>0</v>
      </c>
    </row>
    <row r="27" spans="1:73" x14ac:dyDescent="0.2">
      <c r="E27" s="32">
        <v>0.10068000000000001</v>
      </c>
      <c r="F27" s="35">
        <v>0.30091000000000001</v>
      </c>
      <c r="G27" s="34">
        <f>E27-(MIN($E$14:$E$46)+MAX($J$14:$J$48))/2</f>
        <v>-0.39993000000000001</v>
      </c>
      <c r="H27" s="8">
        <f t="shared" si="38"/>
        <v>0.28347</v>
      </c>
      <c r="I27" s="26"/>
      <c r="J27" s="46">
        <v>7.4999999999999997E-2</v>
      </c>
      <c r="K27" s="47">
        <v>6.9000000000000006E-2</v>
      </c>
      <c r="L27" s="1">
        <f>J27-(MIN($J$14:$J$48)+MAX($J$14:$J$48))/2</f>
        <v>-0.42499999999999999</v>
      </c>
      <c r="M27" s="8">
        <f>K27-(INDEX($K$14:$K$48,MATCH(MIN($J$14:$J$48),$J$14:$J$48,0))+INDEX($K$14:$K$48,MATCH(MAX($J$14:$J$48),$J$14:$J$48,0)))/2</f>
        <v>6.8200000000000011E-2</v>
      </c>
      <c r="O27" s="1">
        <f t="shared" si="39"/>
        <v>-19.196640000000002</v>
      </c>
      <c r="P27" s="8">
        <f t="shared" si="40"/>
        <v>13.60656</v>
      </c>
      <c r="R27" s="1">
        <f t="shared" si="0"/>
        <v>-86.056289107706974</v>
      </c>
      <c r="S27" s="8">
        <f t="shared" si="1"/>
        <v>-32.897949524777253</v>
      </c>
      <c r="U27" s="1">
        <f t="shared" si="2"/>
        <v>-80.590931797918131</v>
      </c>
      <c r="V27" s="8">
        <f t="shared" si="3"/>
        <v>-16.059769276699704</v>
      </c>
      <c r="X27" s="1">
        <f t="shared" si="4"/>
        <v>-68.12213588772029</v>
      </c>
      <c r="Y27" s="8">
        <f t="shared" si="5"/>
        <v>-6.4069685199699391</v>
      </c>
      <c r="AA27" s="1">
        <f t="shared" si="6"/>
        <v>-57.212125475610939</v>
      </c>
      <c r="AB27" s="8">
        <f t="shared" si="7"/>
        <v>-1.563724664689115</v>
      </c>
      <c r="AD27" s="1">
        <f t="shared" si="8"/>
        <v>-48.71168143655887</v>
      </c>
      <c r="AE27" s="8">
        <f t="shared" si="9"/>
        <v>0.8907716085984595</v>
      </c>
      <c r="AG27" s="1">
        <f t="shared" si="10"/>
        <v>-42.161586451508271</v>
      </c>
      <c r="AH27" s="8">
        <f t="shared" si="11"/>
        <v>2.1624825270286379</v>
      </c>
      <c r="AJ27" s="1">
        <f t="shared" si="12"/>
        <v>-37.046804424342035</v>
      </c>
      <c r="AK27" s="8">
        <f t="shared" si="13"/>
        <v>2.8234812456903731</v>
      </c>
      <c r="AM27" s="1">
        <f t="shared" si="14"/>
        <v>-32.977657845389508</v>
      </c>
      <c r="AN27" s="8">
        <f t="shared" si="15"/>
        <v>3.1550818868582979</v>
      </c>
      <c r="AP27" s="1">
        <f t="shared" si="16"/>
        <v>-29.679698992216725</v>
      </c>
      <c r="AQ27" s="8">
        <f t="shared" si="17"/>
        <v>3.3025938664879404</v>
      </c>
      <c r="AS27" s="1">
        <f t="shared" si="18"/>
        <v>-29.679698992216725</v>
      </c>
      <c r="AT27" s="8">
        <f t="shared" si="19"/>
        <v>3.3025938664879404</v>
      </c>
      <c r="AV27" s="1">
        <f t="shared" si="20"/>
        <v>0</v>
      </c>
      <c r="AW27" s="8">
        <f t="shared" si="21"/>
        <v>0</v>
      </c>
      <c r="AY27" s="1">
        <f t="shared" si="22"/>
        <v>0</v>
      </c>
      <c r="AZ27" s="8">
        <f t="shared" si="23"/>
        <v>0</v>
      </c>
      <c r="BB27" s="1">
        <f t="shared" si="24"/>
        <v>0</v>
      </c>
      <c r="BC27" s="8">
        <f t="shared" si="25"/>
        <v>0</v>
      </c>
      <c r="BE27" s="1">
        <f t="shared" si="26"/>
        <v>0</v>
      </c>
      <c r="BF27" s="8">
        <f t="shared" si="27"/>
        <v>0</v>
      </c>
      <c r="BH27" s="1">
        <f t="shared" si="28"/>
        <v>0</v>
      </c>
      <c r="BI27" s="8">
        <f t="shared" si="29"/>
        <v>0</v>
      </c>
      <c r="BK27" s="1">
        <f t="shared" si="30"/>
        <v>0</v>
      </c>
      <c r="BL27" s="8">
        <f t="shared" si="31"/>
        <v>0</v>
      </c>
      <c r="BN27" s="1">
        <f t="shared" si="32"/>
        <v>0</v>
      </c>
      <c r="BO27" s="8">
        <f t="shared" si="33"/>
        <v>0</v>
      </c>
      <c r="BQ27" s="1">
        <f t="shared" si="34"/>
        <v>0</v>
      </c>
      <c r="BR27" s="8">
        <f t="shared" si="35"/>
        <v>0</v>
      </c>
      <c r="BT27" s="1">
        <f t="shared" si="36"/>
        <v>0</v>
      </c>
      <c r="BU27" s="8">
        <f t="shared" si="37"/>
        <v>0</v>
      </c>
    </row>
    <row r="28" spans="1:73" x14ac:dyDescent="0.2">
      <c r="E28" s="32">
        <v>5.0599999999999999E-2</v>
      </c>
      <c r="F28" s="35">
        <v>0.21919</v>
      </c>
      <c r="G28" s="34">
        <f>E28-(MIN($E$14:$E$46)+MAX($J$14:$J$48))/2</f>
        <v>-0.45001000000000002</v>
      </c>
      <c r="H28" s="8">
        <f t="shared" si="38"/>
        <v>0.20174999999999998</v>
      </c>
      <c r="I28" s="26"/>
      <c r="J28" s="46">
        <v>0.05</v>
      </c>
      <c r="K28" s="47">
        <v>5.8900000000000001E-2</v>
      </c>
      <c r="L28" s="1">
        <f>J28-(MIN($J$14:$J$48)+MAX($J$14:$J$48))/2</f>
        <v>-0.45</v>
      </c>
      <c r="M28" s="8">
        <f>K28-(INDEX($K$14:$K$48,MATCH(MIN($J$14:$J$48),$J$14:$J$48,0))+INDEX($K$14:$K$48,MATCH(MAX($J$14:$J$48),$J$14:$J$48,0)))/2</f>
        <v>5.8099999999999999E-2</v>
      </c>
      <c r="O28" s="1">
        <f t="shared" si="39"/>
        <v>-21.600480000000001</v>
      </c>
      <c r="P28" s="8">
        <f t="shared" si="40"/>
        <v>9.6839999999999993</v>
      </c>
      <c r="R28" s="1">
        <f t="shared" si="0"/>
        <v>-89.606476257615483</v>
      </c>
      <c r="S28" s="8">
        <f t="shared" si="1"/>
        <v>-37.447926046497329</v>
      </c>
      <c r="U28" s="1">
        <f t="shared" si="2"/>
        <v>-84.39307900510903</v>
      </c>
      <c r="V28" s="8">
        <f t="shared" si="3"/>
        <v>-19.529814176951195</v>
      </c>
      <c r="X28" s="1">
        <f t="shared" si="4"/>
        <v>-71.56806079674439</v>
      </c>
      <c r="Y28" s="8">
        <f t="shared" si="5"/>
        <v>-8.9557211417597475</v>
      </c>
      <c r="AA28" s="1">
        <f t="shared" si="6"/>
        <v>-60.229736035020956</v>
      </c>
      <c r="AB28" s="8">
        <f t="shared" si="7"/>
        <v>-3.4995755448600856</v>
      </c>
      <c r="AD28" s="1">
        <f t="shared" si="8"/>
        <v>-51.352875135108007</v>
      </c>
      <c r="AE28" s="8">
        <f t="shared" si="9"/>
        <v>-0.6382827503082118</v>
      </c>
      <c r="AG28" s="1">
        <f t="shared" si="10"/>
        <v>-44.492671112032475</v>
      </c>
      <c r="AH28" s="8">
        <f t="shared" si="11"/>
        <v>0.91365915330565306</v>
      </c>
      <c r="AJ28" s="1">
        <f t="shared" si="12"/>
        <v>-39.124985339261755</v>
      </c>
      <c r="AK28" s="8">
        <f t="shared" si="13"/>
        <v>1.7756750528877359</v>
      </c>
      <c r="AM28" s="1">
        <f t="shared" si="14"/>
        <v>-34.848348593143434</v>
      </c>
      <c r="AN28" s="8">
        <f t="shared" si="15"/>
        <v>2.2567797549434876</v>
      </c>
      <c r="AP28" s="1">
        <f t="shared" si="16"/>
        <v>-31.378298544143867</v>
      </c>
      <c r="AQ28" s="8">
        <f t="shared" si="17"/>
        <v>2.5189595074276534</v>
      </c>
      <c r="AS28" s="1">
        <f t="shared" si="18"/>
        <v>-31.378298544143867</v>
      </c>
      <c r="AT28" s="8">
        <f t="shared" si="19"/>
        <v>2.5189595074276534</v>
      </c>
      <c r="AV28" s="1">
        <f t="shared" si="20"/>
        <v>0</v>
      </c>
      <c r="AW28" s="8">
        <f t="shared" si="21"/>
        <v>0</v>
      </c>
      <c r="AY28" s="1">
        <f t="shared" si="22"/>
        <v>0</v>
      </c>
      <c r="AZ28" s="8">
        <f t="shared" si="23"/>
        <v>0</v>
      </c>
      <c r="BB28" s="1">
        <f t="shared" si="24"/>
        <v>0</v>
      </c>
      <c r="BC28" s="8">
        <f t="shared" si="25"/>
        <v>0</v>
      </c>
      <c r="BE28" s="1">
        <f t="shared" si="26"/>
        <v>0</v>
      </c>
      <c r="BF28" s="8">
        <f t="shared" si="27"/>
        <v>0</v>
      </c>
      <c r="BH28" s="1">
        <f t="shared" si="28"/>
        <v>0</v>
      </c>
      <c r="BI28" s="8">
        <f t="shared" si="29"/>
        <v>0</v>
      </c>
      <c r="BK28" s="1">
        <f t="shared" si="30"/>
        <v>0</v>
      </c>
      <c r="BL28" s="8">
        <f t="shared" si="31"/>
        <v>0</v>
      </c>
      <c r="BN28" s="1">
        <f t="shared" si="32"/>
        <v>0</v>
      </c>
      <c r="BO28" s="8">
        <f t="shared" si="33"/>
        <v>0</v>
      </c>
      <c r="BQ28" s="1">
        <f t="shared" si="34"/>
        <v>0</v>
      </c>
      <c r="BR28" s="8">
        <f t="shared" si="35"/>
        <v>0</v>
      </c>
      <c r="BT28" s="1">
        <f t="shared" si="36"/>
        <v>0</v>
      </c>
      <c r="BU28" s="8">
        <f t="shared" si="37"/>
        <v>0</v>
      </c>
    </row>
    <row r="29" spans="1:73" x14ac:dyDescent="0.2">
      <c r="E29" s="32">
        <v>1.704E-2</v>
      </c>
      <c r="F29" s="35">
        <v>0.12941</v>
      </c>
      <c r="G29" s="34">
        <f>E29-(MIN($E$14:$E$46)+MAX($J$14:$J$48))/2</f>
        <v>-0.48357</v>
      </c>
      <c r="H29" s="8">
        <f t="shared" si="38"/>
        <v>0.11197</v>
      </c>
      <c r="I29" s="26"/>
      <c r="J29" s="46">
        <v>2.5000000000000001E-2</v>
      </c>
      <c r="K29" s="47">
        <v>4.4400000000000002E-2</v>
      </c>
      <c r="L29" s="1">
        <f>J29-(MIN($J$14:$J$48)+MAX($J$14:$J$48))/2</f>
        <v>-0.47499999999999998</v>
      </c>
      <c r="M29" s="8">
        <f>K29-(INDEX($K$14:$K$48,MATCH(MIN($J$14:$J$48),$J$14:$J$48,0))+INDEX($K$14:$K$48,MATCH(MAX($J$14:$J$48),$J$14:$J$48,0)))/2</f>
        <v>4.36E-2</v>
      </c>
      <c r="O29" s="1">
        <f t="shared" si="39"/>
        <v>-23.211359999999999</v>
      </c>
      <c r="P29" s="8">
        <f t="shared" si="40"/>
        <v>5.3745600000000007</v>
      </c>
      <c r="R29" s="1">
        <f t="shared" si="0"/>
        <v>-92.685243343910997</v>
      </c>
      <c r="S29" s="8">
        <f t="shared" si="1"/>
        <v>-42.813189212300948</v>
      </c>
      <c r="U29" s="1">
        <f t="shared" si="2"/>
        <v>-87.902606417331356</v>
      </c>
      <c r="V29" s="8">
        <f t="shared" si="3"/>
        <v>-23.787255382835589</v>
      </c>
      <c r="X29" s="1">
        <f t="shared" si="4"/>
        <v>-74.838986894968301</v>
      </c>
      <c r="Y29" s="8">
        <f t="shared" si="5"/>
        <v>-12.181656067101073</v>
      </c>
      <c r="AA29" s="1">
        <f t="shared" si="6"/>
        <v>-63.138901066090739</v>
      </c>
      <c r="AB29" s="8">
        <f t="shared" si="7"/>
        <v>-6.0103378769366627</v>
      </c>
      <c r="AD29" s="1">
        <f t="shared" si="8"/>
        <v>-53.924164249791431</v>
      </c>
      <c r="AE29" s="8">
        <f t="shared" si="9"/>
        <v>-2.6604286520412734</v>
      </c>
      <c r="AG29" s="1">
        <f t="shared" si="10"/>
        <v>-46.777295381646205</v>
      </c>
      <c r="AH29" s="8">
        <f t="shared" si="11"/>
        <v>-0.76420511859742901</v>
      </c>
      <c r="AJ29" s="1">
        <f t="shared" si="12"/>
        <v>-41.17166143120896</v>
      </c>
      <c r="AK29" s="8">
        <f t="shared" si="13"/>
        <v>0.34938107057832618</v>
      </c>
      <c r="AM29" s="1">
        <f t="shared" si="14"/>
        <v>-36.697471910352455</v>
      </c>
      <c r="AN29" s="8">
        <f t="shared" si="15"/>
        <v>1.0205228094838497</v>
      </c>
      <c r="AP29" s="1">
        <f t="shared" si="16"/>
        <v>-33.062161001108095</v>
      </c>
      <c r="AQ29" s="8">
        <f t="shared" si="17"/>
        <v>1.4304178408631738</v>
      </c>
      <c r="AS29" s="1">
        <f t="shared" si="18"/>
        <v>-33.062161001108095</v>
      </c>
      <c r="AT29" s="8">
        <f t="shared" si="19"/>
        <v>1.4304178408631738</v>
      </c>
      <c r="AV29" s="1">
        <f t="shared" si="20"/>
        <v>0</v>
      </c>
      <c r="AW29" s="8">
        <f t="shared" si="21"/>
        <v>0</v>
      </c>
      <c r="AY29" s="1">
        <f t="shared" si="22"/>
        <v>0</v>
      </c>
      <c r="AZ29" s="8">
        <f t="shared" si="23"/>
        <v>0</v>
      </c>
      <c r="BB29" s="1">
        <f t="shared" si="24"/>
        <v>0</v>
      </c>
      <c r="BC29" s="8">
        <f t="shared" si="25"/>
        <v>0</v>
      </c>
      <c r="BE29" s="1">
        <f t="shared" si="26"/>
        <v>0</v>
      </c>
      <c r="BF29" s="8">
        <f t="shared" si="27"/>
        <v>0</v>
      </c>
      <c r="BH29" s="1">
        <f t="shared" si="28"/>
        <v>0</v>
      </c>
      <c r="BI29" s="8">
        <f t="shared" si="29"/>
        <v>0</v>
      </c>
      <c r="BK29" s="1">
        <f t="shared" si="30"/>
        <v>0</v>
      </c>
      <c r="BL29" s="8">
        <f t="shared" si="31"/>
        <v>0</v>
      </c>
      <c r="BN29" s="1">
        <f t="shared" si="32"/>
        <v>0</v>
      </c>
      <c r="BO29" s="8">
        <f t="shared" si="33"/>
        <v>0</v>
      </c>
      <c r="BQ29" s="1">
        <f t="shared" si="34"/>
        <v>0</v>
      </c>
      <c r="BR29" s="8">
        <f t="shared" si="35"/>
        <v>0</v>
      </c>
      <c r="BT29" s="1">
        <f t="shared" si="36"/>
        <v>0</v>
      </c>
      <c r="BU29" s="8">
        <f t="shared" si="37"/>
        <v>0</v>
      </c>
    </row>
    <row r="30" spans="1:73" x14ac:dyDescent="0.2">
      <c r="E30" s="32">
        <v>1.2199999999999999E-3</v>
      </c>
      <c r="F30" s="35">
        <v>3.4880000000000001E-2</v>
      </c>
      <c r="G30" s="34">
        <f>E30-(MIN($E$14:$E$46)+MAX($J$14:$J$48))/2</f>
        <v>-0.49939</v>
      </c>
      <c r="H30" s="8">
        <f t="shared" si="38"/>
        <v>1.7440000000000001E-2</v>
      </c>
      <c r="I30" s="26"/>
      <c r="J30" s="46">
        <v>1.2500000000000001E-2</v>
      </c>
      <c r="K30" s="47">
        <v>3.3399999999999999E-2</v>
      </c>
      <c r="L30" s="1">
        <f>J30-(MIN($J$14:$J$48)+MAX($J$14:$J$48))/2</f>
        <v>-0.48749999999999999</v>
      </c>
      <c r="M30" s="8">
        <f>K30-(INDEX($K$14:$K$48,MATCH(MIN($J$14:$J$48),$J$14:$J$48,0))+INDEX($K$14:$K$48,MATCH(MAX($J$14:$J$48),$J$14:$J$48,0)))/2</f>
        <v>3.2599999999999997E-2</v>
      </c>
      <c r="O30" s="1">
        <f t="shared" si="39"/>
        <v>-23.97072</v>
      </c>
      <c r="P30" s="8">
        <f t="shared" si="40"/>
        <v>0.83711999999999998</v>
      </c>
      <c r="R30" s="1">
        <f t="shared" si="0"/>
        <v>-93.822848423752262</v>
      </c>
      <c r="S30" s="8">
        <f t="shared" si="1"/>
        <v>-46.190667366864865</v>
      </c>
      <c r="U30" s="1">
        <f t="shared" si="2"/>
        <v>-89.407978252730686</v>
      </c>
      <c r="V30" s="8">
        <f t="shared" si="3"/>
        <v>-26.587052382624016</v>
      </c>
      <c r="X30" s="1">
        <f t="shared" si="4"/>
        <v>-76.325303230330107</v>
      </c>
      <c r="Y30" s="8">
        <f t="shared" si="5"/>
        <v>-14.37176753848042</v>
      </c>
      <c r="AA30" s="1">
        <f t="shared" si="6"/>
        <v>-64.50105841542657</v>
      </c>
      <c r="AB30" s="8">
        <f t="shared" si="7"/>
        <v>-7.755700394030872</v>
      </c>
      <c r="AD30" s="1">
        <f t="shared" si="8"/>
        <v>-55.150231036793052</v>
      </c>
      <c r="AE30" s="8">
        <f t="shared" si="9"/>
        <v>-4.091750076907573</v>
      </c>
      <c r="AG30" s="1">
        <f t="shared" si="10"/>
        <v>-47.880010592381623</v>
      </c>
      <c r="AH30" s="8">
        <f t="shared" si="11"/>
        <v>-1.968797110952462</v>
      </c>
      <c r="AJ30" s="1">
        <f t="shared" si="12"/>
        <v>-42.168148775785525</v>
      </c>
      <c r="AK30" s="8">
        <f t="shared" si="13"/>
        <v>-0.68634074117874222</v>
      </c>
      <c r="AM30" s="1">
        <f t="shared" si="14"/>
        <v>-37.603652236106207</v>
      </c>
      <c r="AN30" s="8">
        <f t="shared" si="15"/>
        <v>0.11436466611923415</v>
      </c>
      <c r="AP30" s="1">
        <f t="shared" si="16"/>
        <v>-33.891532205474086</v>
      </c>
      <c r="AQ30" s="8">
        <f t="shared" si="17"/>
        <v>0.62628282504894917</v>
      </c>
      <c r="AS30" s="1">
        <f t="shared" si="18"/>
        <v>-33.891532205474086</v>
      </c>
      <c r="AT30" s="8">
        <f t="shared" si="19"/>
        <v>0.62628282504894917</v>
      </c>
      <c r="AV30" s="1">
        <f t="shared" si="20"/>
        <v>0</v>
      </c>
      <c r="AW30" s="8">
        <f t="shared" si="21"/>
        <v>0</v>
      </c>
      <c r="AY30" s="1">
        <f t="shared" si="22"/>
        <v>0</v>
      </c>
      <c r="AZ30" s="8">
        <f t="shared" si="23"/>
        <v>0</v>
      </c>
      <c r="BB30" s="1">
        <f t="shared" si="24"/>
        <v>0</v>
      </c>
      <c r="BC30" s="8">
        <f t="shared" si="25"/>
        <v>0</v>
      </c>
      <c r="BE30" s="1">
        <f t="shared" si="26"/>
        <v>0</v>
      </c>
      <c r="BF30" s="8">
        <f t="shared" si="27"/>
        <v>0</v>
      </c>
      <c r="BH30" s="1">
        <f t="shared" si="28"/>
        <v>0</v>
      </c>
      <c r="BI30" s="8">
        <f t="shared" si="29"/>
        <v>0</v>
      </c>
      <c r="BK30" s="1">
        <f t="shared" si="30"/>
        <v>0</v>
      </c>
      <c r="BL30" s="8">
        <f t="shared" si="31"/>
        <v>0</v>
      </c>
      <c r="BN30" s="1">
        <f t="shared" si="32"/>
        <v>0</v>
      </c>
      <c r="BO30" s="8">
        <f t="shared" si="33"/>
        <v>0</v>
      </c>
      <c r="BQ30" s="1">
        <f t="shared" si="34"/>
        <v>0</v>
      </c>
      <c r="BR30" s="8">
        <f t="shared" si="35"/>
        <v>0</v>
      </c>
      <c r="BT30" s="1">
        <f t="shared" si="36"/>
        <v>0</v>
      </c>
      <c r="BU30" s="8">
        <f t="shared" si="37"/>
        <v>0</v>
      </c>
    </row>
    <row r="31" spans="1:73" x14ac:dyDescent="0.2">
      <c r="E31" s="32">
        <v>3.7299999999999998E-3</v>
      </c>
      <c r="F31" s="35">
        <v>-6.0929999999999998E-2</v>
      </c>
      <c r="G31" s="34">
        <f>E31-(MIN($E$14:$E$46)+MAX($J$14:$J$48))/2</f>
        <v>-0.49687999999999999</v>
      </c>
      <c r="H31" s="8">
        <f t="shared" si="38"/>
        <v>-7.8369999999999995E-2</v>
      </c>
      <c r="I31" s="26"/>
      <c r="J31" s="46">
        <v>0</v>
      </c>
      <c r="K31" s="47">
        <v>0</v>
      </c>
      <c r="L31" s="1">
        <f>J31-(MIN($J$14:$J$48)+MAX($J$14:$J$48))/2</f>
        <v>-0.5</v>
      </c>
      <c r="M31" s="8">
        <f>K31-(INDEX($K$14:$K$48,MATCH(MIN($J$14:$J$48),$J$14:$J$48,0))+INDEX($K$14:$K$48,MATCH(MAX($J$14:$J$48),$J$14:$J$48,0)))/2</f>
        <v>-8.0000000000000004E-4</v>
      </c>
      <c r="O31" s="1">
        <f t="shared" si="39"/>
        <v>-23.850239999999999</v>
      </c>
      <c r="P31" s="8">
        <f t="shared" si="40"/>
        <v>-3.7617599999999998</v>
      </c>
      <c r="R31" s="1">
        <f t="shared" si="0"/>
        <v>-92.560496816109222</v>
      </c>
      <c r="S31" s="8">
        <f t="shared" si="1"/>
        <v>-53.718695709490454</v>
      </c>
      <c r="U31" s="1">
        <f t="shared" si="2"/>
        <v>-89.423649313744534</v>
      </c>
      <c r="V31" s="8">
        <f t="shared" si="3"/>
        <v>-33.395412392907211</v>
      </c>
      <c r="X31" s="1">
        <f t="shared" si="4"/>
        <v>-76.920716528890935</v>
      </c>
      <c r="Y31" s="8">
        <f t="shared" si="5"/>
        <v>-20.009352555212963</v>
      </c>
      <c r="AA31" s="1">
        <f t="shared" si="6"/>
        <v>-65.31112943866674</v>
      </c>
      <c r="AB31" s="8">
        <f t="shared" si="7"/>
        <v>-12.427884848099101</v>
      </c>
      <c r="AD31" s="1">
        <f t="shared" si="8"/>
        <v>-56.020419942296506</v>
      </c>
      <c r="AE31" s="8">
        <f t="shared" si="9"/>
        <v>-8.0333557197991539</v>
      </c>
      <c r="AG31" s="1">
        <f t="shared" si="10"/>
        <v>-48.746200176663663</v>
      </c>
      <c r="AH31" s="8">
        <f t="shared" si="11"/>
        <v>-5.3575973122243523</v>
      </c>
      <c r="AJ31" s="1">
        <f t="shared" si="12"/>
        <v>-43.004247930683754</v>
      </c>
      <c r="AK31" s="8">
        <f t="shared" si="13"/>
        <v>-3.648909481333928</v>
      </c>
      <c r="AM31" s="1">
        <f t="shared" si="14"/>
        <v>-38.400034733631401</v>
      </c>
      <c r="AN31" s="8">
        <f t="shared" si="15"/>
        <v>-2.5122907098372331</v>
      </c>
      <c r="AP31" s="1">
        <f t="shared" si="16"/>
        <v>-34.645878199119771</v>
      </c>
      <c r="AQ31" s="8">
        <f t="shared" si="17"/>
        <v>-1.7301075744229937</v>
      </c>
      <c r="AS31" s="1">
        <f t="shared" si="18"/>
        <v>-34.645878199119771</v>
      </c>
      <c r="AT31" s="8">
        <f t="shared" si="19"/>
        <v>-1.7301075744229937</v>
      </c>
      <c r="AV31" s="1">
        <f t="shared" si="20"/>
        <v>0</v>
      </c>
      <c r="AW31" s="8">
        <f t="shared" si="21"/>
        <v>0</v>
      </c>
      <c r="AY31" s="1">
        <f t="shared" si="22"/>
        <v>0</v>
      </c>
      <c r="AZ31" s="8">
        <f t="shared" si="23"/>
        <v>0</v>
      </c>
      <c r="BB31" s="1">
        <f t="shared" si="24"/>
        <v>0</v>
      </c>
      <c r="BC31" s="8">
        <f t="shared" si="25"/>
        <v>0</v>
      </c>
      <c r="BE31" s="1">
        <f t="shared" si="26"/>
        <v>0</v>
      </c>
      <c r="BF31" s="8">
        <f t="shared" si="27"/>
        <v>0</v>
      </c>
      <c r="BH31" s="1">
        <f t="shared" si="28"/>
        <v>0</v>
      </c>
      <c r="BI31" s="8">
        <f t="shared" si="29"/>
        <v>0</v>
      </c>
      <c r="BK31" s="1">
        <f t="shared" si="30"/>
        <v>0</v>
      </c>
      <c r="BL31" s="8">
        <f t="shared" si="31"/>
        <v>0</v>
      </c>
      <c r="BN31" s="1">
        <f t="shared" si="32"/>
        <v>0</v>
      </c>
      <c r="BO31" s="8">
        <f t="shared" si="33"/>
        <v>0</v>
      </c>
      <c r="BQ31" s="1">
        <f t="shared" si="34"/>
        <v>0</v>
      </c>
      <c r="BR31" s="8">
        <f t="shared" si="35"/>
        <v>0</v>
      </c>
      <c r="BT31" s="1">
        <f t="shared" si="36"/>
        <v>0</v>
      </c>
      <c r="BU31" s="8">
        <f t="shared" si="37"/>
        <v>0</v>
      </c>
    </row>
    <row r="32" spans="1:73" x14ac:dyDescent="0.2">
      <c r="E32" s="32">
        <v>2.4469999999999999E-2</v>
      </c>
      <c r="F32" s="35">
        <v>-0.15451000000000001</v>
      </c>
      <c r="G32" s="34">
        <f>E32-(MIN($E$14:$E$46)+MAX($J$14:$J$48))/2</f>
        <v>-0.47614000000000001</v>
      </c>
      <c r="H32" s="8">
        <f t="shared" si="38"/>
        <v>-0.17195000000000002</v>
      </c>
      <c r="I32" s="26"/>
      <c r="J32" s="46">
        <v>1.2500000000000001E-2</v>
      </c>
      <c r="K32" s="47">
        <v>-1.54E-2</v>
      </c>
      <c r="L32" s="1">
        <f>J32-(MIN($J$14:$J$48)+MAX($J$14:$J$48))/2</f>
        <v>-0.48749999999999999</v>
      </c>
      <c r="M32" s="8">
        <f>K32-(INDEX($K$14:$K$48,MATCH(MIN($J$14:$J$48),$J$14:$J$48,0))+INDEX($K$14:$K$48,MATCH(MAX($J$14:$J$48),$J$14:$J$48,0)))/2</f>
        <v>-1.6199999999999999E-2</v>
      </c>
      <c r="O32" s="1">
        <f t="shared" si="39"/>
        <v>-22.85472</v>
      </c>
      <c r="P32" s="8">
        <f t="shared" si="40"/>
        <v>-8.2536000000000023</v>
      </c>
      <c r="R32" s="1">
        <f t="shared" si="0"/>
        <v>-88.594371354590081</v>
      </c>
      <c r="S32" s="8">
        <f t="shared" si="1"/>
        <v>-55.232937419427778</v>
      </c>
      <c r="U32" s="1">
        <f t="shared" si="2"/>
        <v>-86.162558708533808</v>
      </c>
      <c r="V32" s="8">
        <f t="shared" si="3"/>
        <v>-35.319993226916196</v>
      </c>
      <c r="X32" s="1">
        <f t="shared" si="4"/>
        <v>-74.384407328727988</v>
      </c>
      <c r="Y32" s="8">
        <f t="shared" si="5"/>
        <v>-21.882334905142734</v>
      </c>
      <c r="AA32" s="1">
        <f t="shared" si="6"/>
        <v>-63.29829891928955</v>
      </c>
      <c r="AB32" s="8">
        <f t="shared" si="7"/>
        <v>-14.131991042438564</v>
      </c>
      <c r="AD32" s="1">
        <f t="shared" si="8"/>
        <v>-54.374925652100629</v>
      </c>
      <c r="AE32" s="8">
        <f t="shared" si="9"/>
        <v>-9.5605835518912201</v>
      </c>
      <c r="AG32" s="1">
        <f t="shared" si="10"/>
        <v>-47.364722620465322</v>
      </c>
      <c r="AH32" s="8">
        <f t="shared" si="11"/>
        <v>-6.7272507089499012</v>
      </c>
      <c r="AJ32" s="1">
        <f t="shared" si="12"/>
        <v>-41.818731648272028</v>
      </c>
      <c r="AK32" s="8">
        <f t="shared" si="13"/>
        <v>-4.8841144066174982</v>
      </c>
      <c r="AM32" s="1">
        <f t="shared" si="14"/>
        <v>-37.364449824608272</v>
      </c>
      <c r="AN32" s="8">
        <f t="shared" si="15"/>
        <v>-3.6338614477415865</v>
      </c>
      <c r="AP32" s="1">
        <f t="shared" si="16"/>
        <v>-33.728084424976295</v>
      </c>
      <c r="AQ32" s="8">
        <f t="shared" si="17"/>
        <v>-2.7554164036339377</v>
      </c>
      <c r="AS32" s="1">
        <f t="shared" si="18"/>
        <v>-33.728084424976295</v>
      </c>
      <c r="AT32" s="8">
        <f t="shared" si="19"/>
        <v>-2.7554164036339377</v>
      </c>
      <c r="AV32" s="1">
        <f t="shared" si="20"/>
        <v>0</v>
      </c>
      <c r="AW32" s="8">
        <f t="shared" si="21"/>
        <v>0</v>
      </c>
      <c r="AY32" s="1">
        <f t="shared" si="22"/>
        <v>0</v>
      </c>
      <c r="AZ32" s="8">
        <f t="shared" si="23"/>
        <v>0</v>
      </c>
      <c r="BB32" s="1">
        <f t="shared" si="24"/>
        <v>0</v>
      </c>
      <c r="BC32" s="8">
        <f t="shared" si="25"/>
        <v>0</v>
      </c>
      <c r="BE32" s="1">
        <f t="shared" si="26"/>
        <v>0</v>
      </c>
      <c r="BF32" s="8">
        <f t="shared" si="27"/>
        <v>0</v>
      </c>
      <c r="BH32" s="1">
        <f t="shared" si="28"/>
        <v>0</v>
      </c>
      <c r="BI32" s="8">
        <f t="shared" si="29"/>
        <v>0</v>
      </c>
      <c r="BK32" s="1">
        <f t="shared" si="30"/>
        <v>0</v>
      </c>
      <c r="BL32" s="8">
        <f t="shared" si="31"/>
        <v>0</v>
      </c>
      <c r="BN32" s="1">
        <f t="shared" si="32"/>
        <v>0</v>
      </c>
      <c r="BO32" s="8">
        <f t="shared" si="33"/>
        <v>0</v>
      </c>
      <c r="BQ32" s="1">
        <f t="shared" si="34"/>
        <v>0</v>
      </c>
      <c r="BR32" s="8">
        <f t="shared" si="35"/>
        <v>0</v>
      </c>
      <c r="BT32" s="1">
        <f t="shared" si="36"/>
        <v>0</v>
      </c>
      <c r="BU32" s="8">
        <f t="shared" si="37"/>
        <v>0</v>
      </c>
    </row>
    <row r="33" spans="5:73" x14ac:dyDescent="0.2">
      <c r="E33" s="32">
        <v>6.2689999999999996E-2</v>
      </c>
      <c r="F33" s="35">
        <v>-0.2424</v>
      </c>
      <c r="G33" s="34">
        <f>E33-(MIN($E$14:$E$46)+MAX($J$14:$J$48))/2</f>
        <v>-0.43791999999999998</v>
      </c>
      <c r="H33" s="8">
        <f t="shared" si="38"/>
        <v>-0.25984000000000002</v>
      </c>
      <c r="I33" s="26"/>
      <c r="J33" s="46">
        <v>2.5000000000000001E-2</v>
      </c>
      <c r="K33" s="47">
        <v>-2.2499999999999999E-2</v>
      </c>
      <c r="L33" s="1">
        <f>J33-(MIN($J$14:$J$48)+MAX($J$14:$J$48))/2</f>
        <v>-0.47499999999999998</v>
      </c>
      <c r="M33" s="8">
        <f>K33-(INDEX($K$14:$K$48,MATCH(MIN($J$14:$J$48),$J$14:$J$48,0))+INDEX($K$14:$K$48,MATCH(MAX($J$14:$J$48),$J$14:$J$48,0)))/2</f>
        <v>-2.3299999999999998E-2</v>
      </c>
      <c r="O33" s="1">
        <f t="shared" si="39"/>
        <v>-21.020160000000001</v>
      </c>
      <c r="P33" s="8">
        <f t="shared" si="40"/>
        <v>-12.47232</v>
      </c>
      <c r="R33" s="1">
        <f t="shared" si="0"/>
        <v>-85.517515558522703</v>
      </c>
      <c r="S33" s="8">
        <f t="shared" si="1"/>
        <v>-55.20925205075298</v>
      </c>
      <c r="U33" s="1">
        <f t="shared" si="2"/>
        <v>-83.453455443831956</v>
      </c>
      <c r="V33" s="8">
        <f t="shared" si="3"/>
        <v>-35.759258302572213</v>
      </c>
      <c r="X33" s="1">
        <f t="shared" si="4"/>
        <v>-72.17820952166538</v>
      </c>
      <c r="Y33" s="8">
        <f t="shared" si="5"/>
        <v>-22.477905182463964</v>
      </c>
      <c r="AA33" s="1">
        <f t="shared" si="6"/>
        <v>-61.490036101099612</v>
      </c>
      <c r="AB33" s="8">
        <f t="shared" si="7"/>
        <v>-14.751605179774257</v>
      </c>
      <c r="AD33" s="1">
        <f t="shared" si="8"/>
        <v>-52.861296826924153</v>
      </c>
      <c r="AE33" s="8">
        <f t="shared" si="9"/>
        <v>-10.157661428197132</v>
      </c>
      <c r="AG33" s="1">
        <f t="shared" si="10"/>
        <v>-46.070886256211764</v>
      </c>
      <c r="AH33" s="8">
        <f t="shared" si="11"/>
        <v>-7.2875769568357223</v>
      </c>
      <c r="AJ33" s="1">
        <f t="shared" si="12"/>
        <v>-40.692644918285751</v>
      </c>
      <c r="AK33" s="8">
        <f t="shared" si="13"/>
        <v>-5.4053537289678362</v>
      </c>
      <c r="AM33" s="1">
        <f t="shared" si="14"/>
        <v>-36.369548932294833</v>
      </c>
      <c r="AN33" s="8">
        <f t="shared" si="15"/>
        <v>-4.1179265146409225</v>
      </c>
      <c r="AP33" s="1">
        <f t="shared" si="16"/>
        <v>-32.838090170876484</v>
      </c>
      <c r="AQ33" s="8">
        <f t="shared" si="17"/>
        <v>-3.2055591755074229</v>
      </c>
      <c r="AS33" s="1">
        <f t="shared" si="18"/>
        <v>-32.838090170876484</v>
      </c>
      <c r="AT33" s="8">
        <f t="shared" si="19"/>
        <v>-3.2055591755074229</v>
      </c>
      <c r="AV33" s="1">
        <f t="shared" si="20"/>
        <v>0</v>
      </c>
      <c r="AW33" s="8">
        <f t="shared" si="21"/>
        <v>0</v>
      </c>
      <c r="AY33" s="1">
        <f t="shared" si="22"/>
        <v>0</v>
      </c>
      <c r="AZ33" s="8">
        <f t="shared" si="23"/>
        <v>0</v>
      </c>
      <c r="BB33" s="1">
        <f t="shared" si="24"/>
        <v>0</v>
      </c>
      <c r="BC33" s="8">
        <f t="shared" si="25"/>
        <v>0</v>
      </c>
      <c r="BE33" s="1">
        <f t="shared" si="26"/>
        <v>0</v>
      </c>
      <c r="BF33" s="8">
        <f t="shared" si="27"/>
        <v>0</v>
      </c>
      <c r="BH33" s="1">
        <f t="shared" si="28"/>
        <v>0</v>
      </c>
      <c r="BI33" s="8">
        <f t="shared" si="29"/>
        <v>0</v>
      </c>
      <c r="BK33" s="1">
        <f t="shared" si="30"/>
        <v>0</v>
      </c>
      <c r="BL33" s="8">
        <f t="shared" si="31"/>
        <v>0</v>
      </c>
      <c r="BN33" s="1">
        <f t="shared" si="32"/>
        <v>0</v>
      </c>
      <c r="BO33" s="8">
        <f t="shared" si="33"/>
        <v>0</v>
      </c>
      <c r="BQ33" s="1">
        <f t="shared" si="34"/>
        <v>0</v>
      </c>
      <c r="BR33" s="8">
        <f t="shared" si="35"/>
        <v>0</v>
      </c>
      <c r="BT33" s="1">
        <f t="shared" si="36"/>
        <v>0</v>
      </c>
      <c r="BU33" s="8">
        <f t="shared" si="37"/>
        <v>0</v>
      </c>
    </row>
    <row r="34" spans="5:73" x14ac:dyDescent="0.2">
      <c r="E34" s="32">
        <v>0.11698</v>
      </c>
      <c r="F34" s="35">
        <v>-0.32139000000000001</v>
      </c>
      <c r="G34" s="34">
        <f>E34-(MIN($E$14:$E$46)+MAX($J$14:$J$48))/2</f>
        <v>-0.38363000000000003</v>
      </c>
      <c r="H34" s="8">
        <f t="shared" si="38"/>
        <v>-0.33883000000000002</v>
      </c>
      <c r="I34" s="26"/>
      <c r="J34" s="46">
        <v>0.05</v>
      </c>
      <c r="K34" s="47">
        <v>-3.04E-2</v>
      </c>
      <c r="L34" s="1">
        <f>J34-(MIN($J$14:$J$48)+MAX($J$14:$J$48))/2</f>
        <v>-0.45</v>
      </c>
      <c r="M34" s="8">
        <f>K34-(INDEX($K$14:$K$48,MATCH(MIN($J$14:$J$48),$J$14:$J$48,0))+INDEX($K$14:$K$48,MATCH(MAX($J$14:$J$48),$J$14:$J$48,0)))/2</f>
        <v>-3.1199999999999999E-2</v>
      </c>
      <c r="O34" s="1">
        <f t="shared" si="39"/>
        <v>-18.414240000000003</v>
      </c>
      <c r="P34" s="8">
        <f t="shared" si="40"/>
        <v>-16.263840000000002</v>
      </c>
      <c r="R34" s="1">
        <f t="shared" si="0"/>
        <v>-80.038791784742926</v>
      </c>
      <c r="S34" s="8">
        <f t="shared" si="1"/>
        <v>-53.994539073011033</v>
      </c>
      <c r="U34" s="1">
        <f t="shared" si="2"/>
        <v>-78.454227257224176</v>
      </c>
      <c r="V34" s="8">
        <f t="shared" si="3"/>
        <v>-35.510380107182591</v>
      </c>
      <c r="X34" s="1">
        <f t="shared" si="4"/>
        <v>-68.016380386640492</v>
      </c>
      <c r="Y34" s="8">
        <f t="shared" si="5"/>
        <v>-22.69944380247583</v>
      </c>
      <c r="AA34" s="1">
        <f t="shared" si="6"/>
        <v>-58.02878474393416</v>
      </c>
      <c r="AB34" s="8">
        <f t="shared" si="7"/>
        <v>-15.167664784671702</v>
      </c>
      <c r="AD34" s="1">
        <f t="shared" si="8"/>
        <v>-49.93412983074257</v>
      </c>
      <c r="AE34" s="8">
        <f t="shared" si="9"/>
        <v>-10.645799744489352</v>
      </c>
      <c r="AG34" s="1">
        <f t="shared" si="10"/>
        <v>-43.549736360144657</v>
      </c>
      <c r="AH34" s="8">
        <f t="shared" si="11"/>
        <v>-7.7939208938494984</v>
      </c>
      <c r="AJ34" s="1">
        <f t="shared" si="12"/>
        <v>-38.485580636660238</v>
      </c>
      <c r="AK34" s="8">
        <f t="shared" si="13"/>
        <v>-5.9059066750565457</v>
      </c>
      <c r="AM34" s="1">
        <f t="shared" si="14"/>
        <v>-34.410627786857255</v>
      </c>
      <c r="AN34" s="8">
        <f t="shared" si="15"/>
        <v>-4.6021668017731372</v>
      </c>
      <c r="AP34" s="1">
        <f t="shared" si="16"/>
        <v>-31.079202503191972</v>
      </c>
      <c r="AQ34" s="8">
        <f t="shared" si="17"/>
        <v>-3.6692728926006613</v>
      </c>
      <c r="AS34" s="1">
        <f t="shared" si="18"/>
        <v>-31.079202503191972</v>
      </c>
      <c r="AT34" s="8">
        <f t="shared" si="19"/>
        <v>-3.6692728926006613</v>
      </c>
      <c r="AV34" s="1">
        <f t="shared" si="20"/>
        <v>0</v>
      </c>
      <c r="AW34" s="8">
        <f t="shared" si="21"/>
        <v>0</v>
      </c>
      <c r="AY34" s="1">
        <f t="shared" si="22"/>
        <v>0</v>
      </c>
      <c r="AZ34" s="8">
        <f t="shared" si="23"/>
        <v>0</v>
      </c>
      <c r="BB34" s="1">
        <f t="shared" si="24"/>
        <v>0</v>
      </c>
      <c r="BC34" s="8">
        <f t="shared" si="25"/>
        <v>0</v>
      </c>
      <c r="BE34" s="1">
        <f t="shared" si="26"/>
        <v>0</v>
      </c>
      <c r="BF34" s="8">
        <f t="shared" si="27"/>
        <v>0</v>
      </c>
      <c r="BH34" s="1">
        <f t="shared" si="28"/>
        <v>0</v>
      </c>
      <c r="BI34" s="8">
        <f t="shared" si="29"/>
        <v>0</v>
      </c>
      <c r="BK34" s="1">
        <f t="shared" si="30"/>
        <v>0</v>
      </c>
      <c r="BL34" s="8">
        <f t="shared" si="31"/>
        <v>0</v>
      </c>
      <c r="BN34" s="1">
        <f t="shared" si="32"/>
        <v>0</v>
      </c>
      <c r="BO34" s="8">
        <f t="shared" si="33"/>
        <v>0</v>
      </c>
      <c r="BQ34" s="1">
        <f t="shared" si="34"/>
        <v>0</v>
      </c>
      <c r="BR34" s="8">
        <f t="shared" si="35"/>
        <v>0</v>
      </c>
      <c r="BT34" s="1">
        <f t="shared" si="36"/>
        <v>0</v>
      </c>
      <c r="BU34" s="8">
        <f t="shared" si="37"/>
        <v>0</v>
      </c>
    </row>
    <row r="35" spans="5:73" x14ac:dyDescent="0.2">
      <c r="E35" s="32">
        <v>0.18534</v>
      </c>
      <c r="F35" s="35">
        <v>-0.38857000000000003</v>
      </c>
      <c r="G35" s="34">
        <f>E35-(MIN($E$14:$E$46)+MAX($J$14:$J$48))/2</f>
        <v>-0.31526999999999999</v>
      </c>
      <c r="H35" s="8">
        <f t="shared" si="38"/>
        <v>-0.40601000000000004</v>
      </c>
      <c r="I35" s="26"/>
      <c r="J35" s="46">
        <v>7.4999999999999997E-2</v>
      </c>
      <c r="K35" s="47">
        <v>-3.61E-2</v>
      </c>
      <c r="L35" s="1">
        <f>J35-(MIN($J$14:$J$48)+MAX($J$14:$J$48))/2</f>
        <v>-0.42499999999999999</v>
      </c>
      <c r="M35" s="8">
        <f>K35-(INDEX($K$14:$K$48,MATCH(MIN($J$14:$J$48),$J$14:$J$48,0))+INDEX($K$14:$K$48,MATCH(MAX($J$14:$J$48),$J$14:$J$48,0)))/2</f>
        <v>-3.6900000000000002E-2</v>
      </c>
      <c r="O35" s="1">
        <f t="shared" si="39"/>
        <v>-15.132960000000001</v>
      </c>
      <c r="P35" s="8">
        <f t="shared" si="40"/>
        <v>-19.488480000000003</v>
      </c>
      <c r="R35" s="1">
        <f t="shared" si="0"/>
        <v>-74.795778042769612</v>
      </c>
      <c r="S35" s="8">
        <f t="shared" si="1"/>
        <v>-52.372182773227308</v>
      </c>
      <c r="U35" s="1">
        <f t="shared" si="2"/>
        <v>-73.601308968100668</v>
      </c>
      <c r="V35" s="8">
        <f t="shared" si="3"/>
        <v>-34.867803758976514</v>
      </c>
      <c r="X35" s="1">
        <f t="shared" si="4"/>
        <v>-63.942050657015706</v>
      </c>
      <c r="Y35" s="8">
        <f t="shared" si="5"/>
        <v>-22.582391270711941</v>
      </c>
      <c r="AA35" s="1">
        <f t="shared" si="6"/>
        <v>-54.621756150938793</v>
      </c>
      <c r="AB35" s="8">
        <f t="shared" si="7"/>
        <v>-15.29626866361634</v>
      </c>
      <c r="AD35" s="1">
        <f t="shared" si="8"/>
        <v>-47.041915126493841</v>
      </c>
      <c r="AE35" s="8">
        <f t="shared" si="9"/>
        <v>-10.887392289368373</v>
      </c>
      <c r="AG35" s="1">
        <f t="shared" si="10"/>
        <v>-41.05181665953279</v>
      </c>
      <c r="AH35" s="8">
        <f t="shared" si="11"/>
        <v>-8.0857443817732264</v>
      </c>
      <c r="AJ35" s="1">
        <f t="shared" si="12"/>
        <v>-36.294268766520979</v>
      </c>
      <c r="AK35" s="8">
        <f t="shared" si="13"/>
        <v>-6.217215726391867</v>
      </c>
      <c r="AM35" s="1">
        <f t="shared" si="14"/>
        <v>-32.462490356692108</v>
      </c>
      <c r="AN35" s="8">
        <f t="shared" si="15"/>
        <v>-4.917429682132938</v>
      </c>
      <c r="AP35" s="1">
        <f t="shared" si="16"/>
        <v>-29.327683382988901</v>
      </c>
      <c r="AQ35" s="8">
        <f t="shared" si="17"/>
        <v>-3.9805329559418015</v>
      </c>
      <c r="AS35" s="1">
        <f t="shared" si="18"/>
        <v>-29.327683382988901</v>
      </c>
      <c r="AT35" s="8">
        <f t="shared" si="19"/>
        <v>-3.9805329559418015</v>
      </c>
      <c r="AV35" s="1">
        <f t="shared" si="20"/>
        <v>0</v>
      </c>
      <c r="AW35" s="8">
        <f t="shared" si="21"/>
        <v>0</v>
      </c>
      <c r="AY35" s="1">
        <f t="shared" si="22"/>
        <v>0</v>
      </c>
      <c r="AZ35" s="8">
        <f t="shared" si="23"/>
        <v>0</v>
      </c>
      <c r="BB35" s="1">
        <f t="shared" si="24"/>
        <v>0</v>
      </c>
      <c r="BC35" s="8">
        <f t="shared" si="25"/>
        <v>0</v>
      </c>
      <c r="BE35" s="1">
        <f t="shared" si="26"/>
        <v>0</v>
      </c>
      <c r="BF35" s="8">
        <f t="shared" si="27"/>
        <v>0</v>
      </c>
      <c r="BH35" s="1">
        <f t="shared" si="28"/>
        <v>0</v>
      </c>
      <c r="BI35" s="8">
        <f t="shared" si="29"/>
        <v>0</v>
      </c>
      <c r="BK35" s="1">
        <f t="shared" si="30"/>
        <v>0</v>
      </c>
      <c r="BL35" s="8">
        <f t="shared" si="31"/>
        <v>0</v>
      </c>
      <c r="BN35" s="1">
        <f t="shared" si="32"/>
        <v>0</v>
      </c>
      <c r="BO35" s="8">
        <f t="shared" si="33"/>
        <v>0</v>
      </c>
      <c r="BQ35" s="1">
        <f t="shared" si="34"/>
        <v>0</v>
      </c>
      <c r="BR35" s="8">
        <f t="shared" si="35"/>
        <v>0</v>
      </c>
      <c r="BT35" s="1">
        <f t="shared" si="36"/>
        <v>0</v>
      </c>
      <c r="BU35" s="8">
        <f t="shared" si="37"/>
        <v>0</v>
      </c>
    </row>
    <row r="36" spans="5:73" x14ac:dyDescent="0.2">
      <c r="E36" s="32">
        <v>0.26526</v>
      </c>
      <c r="F36" s="35">
        <v>-0.44146999999999997</v>
      </c>
      <c r="G36" s="34">
        <f>E36-(MIN($E$14:$E$46)+MAX($J$14:$J$48))/2</f>
        <v>-0.23535</v>
      </c>
      <c r="H36" s="8">
        <f t="shared" si="38"/>
        <v>-0.45890999999999998</v>
      </c>
      <c r="I36" s="26"/>
      <c r="J36" s="46">
        <v>0.1</v>
      </c>
      <c r="K36" s="47">
        <v>-4.0899999999999999E-2</v>
      </c>
      <c r="L36" s="1">
        <f>J36-(MIN($J$14:$J$48)+MAX($J$14:$J$48))/2</f>
        <v>-0.4</v>
      </c>
      <c r="M36" s="8">
        <f>K36-(INDEX($K$14:$K$48,MATCH(MIN($J$14:$J$48),$J$14:$J$48,0))+INDEX($K$14:$K$48,MATCH(MAX($J$14:$J$48),$J$14:$J$48,0)))/2</f>
        <v>-4.1700000000000001E-2</v>
      </c>
      <c r="O36" s="1">
        <f t="shared" si="39"/>
        <v>-11.296800000000001</v>
      </c>
      <c r="P36" s="8">
        <f t="shared" si="40"/>
        <v>-22.02768</v>
      </c>
      <c r="R36" s="1">
        <f t="shared" si="0"/>
        <v>-69.64919113198988</v>
      </c>
      <c r="S36" s="8">
        <f t="shared" si="1"/>
        <v>-50.583063296244696</v>
      </c>
      <c r="U36" s="1">
        <f t="shared" si="2"/>
        <v>-68.808244727948022</v>
      </c>
      <c r="V36" s="8">
        <f t="shared" si="3"/>
        <v>-34.064169075527353</v>
      </c>
      <c r="X36" s="1">
        <f t="shared" si="4"/>
        <v>-59.903516138690961</v>
      </c>
      <c r="Y36" s="8">
        <f t="shared" si="5"/>
        <v>-22.326824176857968</v>
      </c>
      <c r="AA36" s="1">
        <f t="shared" si="6"/>
        <v>-51.236909597831215</v>
      </c>
      <c r="AB36" s="8">
        <f t="shared" si="7"/>
        <v>-15.307277018307559</v>
      </c>
      <c r="AD36" s="1">
        <f t="shared" si="8"/>
        <v>-44.163999087126733</v>
      </c>
      <c r="AE36" s="8">
        <f t="shared" si="9"/>
        <v>-11.028125200487448</v>
      </c>
      <c r="AG36" s="1">
        <f t="shared" si="10"/>
        <v>-38.563400220698078</v>
      </c>
      <c r="AH36" s="8">
        <f t="shared" si="11"/>
        <v>-8.2898095041601145</v>
      </c>
      <c r="AJ36" s="1">
        <f t="shared" si="12"/>
        <v>-34.109401064717005</v>
      </c>
      <c r="AK36" s="8">
        <f t="shared" si="13"/>
        <v>-6.4511068207826208</v>
      </c>
      <c r="AM36" s="1">
        <f t="shared" si="14"/>
        <v>-30.518764446411154</v>
      </c>
      <c r="AN36" s="8">
        <f t="shared" si="15"/>
        <v>-5.1635654415403875</v>
      </c>
      <c r="AP36" s="1">
        <f t="shared" si="16"/>
        <v>-27.579178668573704</v>
      </c>
      <c r="AQ36" s="8">
        <f t="shared" si="17"/>
        <v>-4.2294256154752663</v>
      </c>
      <c r="AS36" s="1">
        <f t="shared" si="18"/>
        <v>-27.579178668573704</v>
      </c>
      <c r="AT36" s="8">
        <f t="shared" si="19"/>
        <v>-4.2294256154752663</v>
      </c>
      <c r="AV36" s="1">
        <f t="shared" si="20"/>
        <v>0</v>
      </c>
      <c r="AW36" s="8">
        <f t="shared" si="21"/>
        <v>0</v>
      </c>
      <c r="AY36" s="1">
        <f t="shared" si="22"/>
        <v>0</v>
      </c>
      <c r="AZ36" s="8">
        <f t="shared" si="23"/>
        <v>0</v>
      </c>
      <c r="BB36" s="1">
        <f t="shared" si="24"/>
        <v>0</v>
      </c>
      <c r="BC36" s="8">
        <f t="shared" si="25"/>
        <v>0</v>
      </c>
      <c r="BE36" s="1">
        <f t="shared" si="26"/>
        <v>0</v>
      </c>
      <c r="BF36" s="8">
        <f t="shared" si="27"/>
        <v>0</v>
      </c>
      <c r="BH36" s="1">
        <f t="shared" si="28"/>
        <v>0</v>
      </c>
      <c r="BI36" s="8">
        <f t="shared" si="29"/>
        <v>0</v>
      </c>
      <c r="BK36" s="1">
        <f t="shared" si="30"/>
        <v>0</v>
      </c>
      <c r="BL36" s="8">
        <f t="shared" si="31"/>
        <v>0</v>
      </c>
      <c r="BN36" s="1">
        <f t="shared" si="32"/>
        <v>0</v>
      </c>
      <c r="BO36" s="8">
        <f t="shared" si="33"/>
        <v>0</v>
      </c>
      <c r="BQ36" s="1">
        <f t="shared" si="34"/>
        <v>0</v>
      </c>
      <c r="BR36" s="8">
        <f t="shared" si="35"/>
        <v>0</v>
      </c>
      <c r="BT36" s="1">
        <f t="shared" si="36"/>
        <v>0</v>
      </c>
      <c r="BU36" s="8">
        <f t="shared" si="37"/>
        <v>0</v>
      </c>
    </row>
    <row r="37" spans="5:73" x14ac:dyDescent="0.2">
      <c r="E37" s="32">
        <v>0.35381000000000001</v>
      </c>
      <c r="F37" s="35">
        <v>-0.47815000000000002</v>
      </c>
      <c r="G37" s="34">
        <f>E37-(MIN($E$14:$E$46)+MAX($J$14:$J$48))/2</f>
        <v>-0.14679999999999999</v>
      </c>
      <c r="H37" s="8">
        <f t="shared" si="38"/>
        <v>-0.49559000000000003</v>
      </c>
      <c r="I37" s="26"/>
      <c r="J37" s="46">
        <v>0.15</v>
      </c>
      <c r="K37" s="47">
        <v>-4.8399999999999999E-2</v>
      </c>
      <c r="L37" s="1">
        <f>J37-(MIN($J$14:$J$48)+MAX($J$14:$J$48))/2</f>
        <v>-0.35</v>
      </c>
      <c r="M37" s="8">
        <f>K37-(INDEX($K$14:$K$48,MATCH(MIN($J$14:$J$48),$J$14:$J$48,0))+INDEX($K$14:$K$48,MATCH(MAX($J$14:$J$48),$J$14:$J$48,0)))/2</f>
        <v>-4.9200000000000001E-2</v>
      </c>
      <c r="O37" s="1">
        <f t="shared" si="39"/>
        <v>-7.0463999999999993</v>
      </c>
      <c r="P37" s="8">
        <f t="shared" si="40"/>
        <v>-23.788320000000002</v>
      </c>
      <c r="R37" s="1">
        <f t="shared" si="0"/>
        <v>-59.581013249882027</v>
      </c>
      <c r="S37" s="8">
        <f t="shared" si="1"/>
        <v>-46.615710262148646</v>
      </c>
      <c r="U37" s="1">
        <f t="shared" si="2"/>
        <v>-59.361775695241342</v>
      </c>
      <c r="V37" s="8">
        <f t="shared" si="3"/>
        <v>-32.081096926395126</v>
      </c>
      <c r="X37" s="1">
        <f t="shared" si="4"/>
        <v>-51.90996926174153</v>
      </c>
      <c r="Y37" s="8">
        <f t="shared" si="5"/>
        <v>-21.492489344273149</v>
      </c>
      <c r="AA37" s="1">
        <f t="shared" si="6"/>
        <v>-44.518974584687513</v>
      </c>
      <c r="AB37" s="8">
        <f t="shared" si="7"/>
        <v>-15.054904171098677</v>
      </c>
      <c r="AD37" s="1">
        <f t="shared" si="8"/>
        <v>-38.441530559782969</v>
      </c>
      <c r="AE37" s="8">
        <f t="shared" si="9"/>
        <v>-11.074251877285731</v>
      </c>
      <c r="AG37" s="1">
        <f t="shared" si="10"/>
        <v>-33.608741620508646</v>
      </c>
      <c r="AH37" s="8">
        <f t="shared" si="11"/>
        <v>-8.4931702293479354</v>
      </c>
      <c r="AJ37" s="1">
        <f t="shared" si="12"/>
        <v>-29.754702053891414</v>
      </c>
      <c r="AK37" s="8">
        <f t="shared" si="13"/>
        <v>-6.7382471100268058</v>
      </c>
      <c r="AM37" s="1">
        <f t="shared" si="14"/>
        <v>-26.64160617224567</v>
      </c>
      <c r="AN37" s="8">
        <f t="shared" si="15"/>
        <v>-5.4945403447997991</v>
      </c>
      <c r="AP37" s="1">
        <f t="shared" si="16"/>
        <v>-24.089202853248342</v>
      </c>
      <c r="AQ37" s="8">
        <f t="shared" si="17"/>
        <v>-4.5816869923242853</v>
      </c>
      <c r="AS37" s="1">
        <f t="shared" si="18"/>
        <v>-24.089202853248342</v>
      </c>
      <c r="AT37" s="8">
        <f t="shared" si="19"/>
        <v>-4.5816869923242853</v>
      </c>
      <c r="AV37" s="1">
        <f t="shared" si="20"/>
        <v>0</v>
      </c>
      <c r="AW37" s="8">
        <f t="shared" si="21"/>
        <v>0</v>
      </c>
      <c r="AY37" s="1">
        <f t="shared" si="22"/>
        <v>0</v>
      </c>
      <c r="AZ37" s="8">
        <f t="shared" si="23"/>
        <v>0</v>
      </c>
      <c r="BB37" s="1">
        <f t="shared" si="24"/>
        <v>0</v>
      </c>
      <c r="BC37" s="8">
        <f t="shared" si="25"/>
        <v>0</v>
      </c>
      <c r="BE37" s="1">
        <f t="shared" si="26"/>
        <v>0</v>
      </c>
      <c r="BF37" s="8">
        <f t="shared" si="27"/>
        <v>0</v>
      </c>
      <c r="BH37" s="1">
        <f t="shared" si="28"/>
        <v>0</v>
      </c>
      <c r="BI37" s="8">
        <f t="shared" si="29"/>
        <v>0</v>
      </c>
      <c r="BK37" s="1">
        <f t="shared" si="30"/>
        <v>0</v>
      </c>
      <c r="BL37" s="8">
        <f t="shared" si="31"/>
        <v>0</v>
      </c>
      <c r="BN37" s="1">
        <f t="shared" si="32"/>
        <v>0</v>
      </c>
      <c r="BO37" s="8">
        <f t="shared" si="33"/>
        <v>0</v>
      </c>
      <c r="BQ37" s="1">
        <f t="shared" si="34"/>
        <v>0</v>
      </c>
      <c r="BR37" s="8">
        <f t="shared" si="35"/>
        <v>0</v>
      </c>
      <c r="BT37" s="1">
        <f t="shared" si="36"/>
        <v>0</v>
      </c>
      <c r="BU37" s="8">
        <f t="shared" si="37"/>
        <v>0</v>
      </c>
    </row>
    <row r="38" spans="5:73" x14ac:dyDescent="0.2">
      <c r="E38" s="32">
        <v>0.44774000000000003</v>
      </c>
      <c r="F38" s="35">
        <v>-0.49725999999999998</v>
      </c>
      <c r="G38" s="34">
        <f>E38-(MIN($E$14:$E$46)+MAX($J$14:$J$48))/2</f>
        <v>-5.2869999999999973E-2</v>
      </c>
      <c r="H38" s="8">
        <f t="shared" si="38"/>
        <v>-0.51469999999999994</v>
      </c>
      <c r="I38" s="26"/>
      <c r="J38" s="46">
        <v>0.2</v>
      </c>
      <c r="K38" s="47">
        <v>-5.4100000000000002E-2</v>
      </c>
      <c r="L38" s="1">
        <f>J38-(MIN($J$14:$J$48)+MAX($J$14:$J$48))/2</f>
        <v>-0.3</v>
      </c>
      <c r="M38" s="8">
        <f>K38-(INDEX($K$14:$K$48,MATCH(MIN($J$14:$J$48),$J$14:$J$48,0))+INDEX($K$14:$K$48,MATCH(MAX($J$14:$J$48),$J$14:$J$48,0)))/2</f>
        <v>-5.4900000000000004E-2</v>
      </c>
      <c r="O38" s="1">
        <f t="shared" si="39"/>
        <v>-2.5377599999999987</v>
      </c>
      <c r="P38" s="8">
        <f t="shared" si="40"/>
        <v>-24.705599999999997</v>
      </c>
      <c r="R38" s="1">
        <f t="shared" si="0"/>
        <v>-49.705689030161331</v>
      </c>
      <c r="S38" s="8">
        <f t="shared" si="1"/>
        <v>-42.314830873654806</v>
      </c>
      <c r="U38" s="1">
        <f t="shared" si="2"/>
        <v>-50.035014760476365</v>
      </c>
      <c r="V38" s="8">
        <f t="shared" si="3"/>
        <v>-29.775908106776711</v>
      </c>
      <c r="X38" s="1">
        <f t="shared" si="4"/>
        <v>-43.988012807392195</v>
      </c>
      <c r="Y38" s="8">
        <f t="shared" si="5"/>
        <v>-20.38112538750817</v>
      </c>
      <c r="AA38" s="1">
        <f t="shared" si="6"/>
        <v>-37.845403651319366</v>
      </c>
      <c r="AB38" s="8">
        <f t="shared" si="7"/>
        <v>-14.567340275382957</v>
      </c>
      <c r="AD38" s="1">
        <f t="shared" si="8"/>
        <v>-32.747659362202462</v>
      </c>
      <c r="AE38" s="8">
        <f t="shared" si="9"/>
        <v>-10.918659286564123</v>
      </c>
      <c r="AG38" s="1">
        <f t="shared" si="10"/>
        <v>-28.673089543873502</v>
      </c>
      <c r="AH38" s="8">
        <f t="shared" si="11"/>
        <v>-8.5210142234620836</v>
      </c>
      <c r="AJ38" s="1">
        <f t="shared" si="12"/>
        <v>-25.412891379736397</v>
      </c>
      <c r="AK38" s="8">
        <f t="shared" si="13"/>
        <v>-6.8705514853818546</v>
      </c>
      <c r="AM38" s="1">
        <f t="shared" si="14"/>
        <v>-22.773270937848554</v>
      </c>
      <c r="AN38" s="8">
        <f t="shared" si="15"/>
        <v>-5.6872610061545101</v>
      </c>
      <c r="AP38" s="1">
        <f t="shared" si="16"/>
        <v>-20.605255849498718</v>
      </c>
      <c r="AQ38" s="8">
        <f t="shared" si="17"/>
        <v>-4.8092135615579501</v>
      </c>
      <c r="AS38" s="1">
        <f t="shared" si="18"/>
        <v>-20.605255849498718</v>
      </c>
      <c r="AT38" s="8">
        <f t="shared" si="19"/>
        <v>-4.8092135615579501</v>
      </c>
      <c r="AV38" s="1">
        <f t="shared" si="20"/>
        <v>0</v>
      </c>
      <c r="AW38" s="8">
        <f t="shared" si="21"/>
        <v>0</v>
      </c>
      <c r="AY38" s="1">
        <f t="shared" si="22"/>
        <v>0</v>
      </c>
      <c r="AZ38" s="8">
        <f t="shared" si="23"/>
        <v>0</v>
      </c>
      <c r="BB38" s="1">
        <f t="shared" si="24"/>
        <v>0</v>
      </c>
      <c r="BC38" s="8">
        <f t="shared" si="25"/>
        <v>0</v>
      </c>
      <c r="BE38" s="1">
        <f t="shared" si="26"/>
        <v>0</v>
      </c>
      <c r="BF38" s="8">
        <f t="shared" si="27"/>
        <v>0</v>
      </c>
      <c r="BH38" s="1">
        <f t="shared" si="28"/>
        <v>0</v>
      </c>
      <c r="BI38" s="8">
        <f t="shared" si="29"/>
        <v>0</v>
      </c>
      <c r="BK38" s="1">
        <f t="shared" si="30"/>
        <v>0</v>
      </c>
      <c r="BL38" s="8">
        <f t="shared" si="31"/>
        <v>0</v>
      </c>
      <c r="BN38" s="1">
        <f t="shared" si="32"/>
        <v>0</v>
      </c>
      <c r="BO38" s="8">
        <f t="shared" si="33"/>
        <v>0</v>
      </c>
      <c r="BQ38" s="1">
        <f t="shared" si="34"/>
        <v>0</v>
      </c>
      <c r="BR38" s="8">
        <f t="shared" si="35"/>
        <v>0</v>
      </c>
      <c r="BT38" s="1">
        <f t="shared" si="36"/>
        <v>0</v>
      </c>
      <c r="BU38" s="8">
        <f t="shared" si="37"/>
        <v>0</v>
      </c>
    </row>
    <row r="39" spans="5:73" x14ac:dyDescent="0.2">
      <c r="E39" s="32">
        <v>0.54357999999999995</v>
      </c>
      <c r="F39" s="35">
        <v>-0.49809999999999999</v>
      </c>
      <c r="G39" s="34">
        <f>E39-(MIN($E$14:$E$46)+MAX($J$14:$J$48))/2</f>
        <v>4.2969999999999953E-2</v>
      </c>
      <c r="H39" s="8">
        <f t="shared" si="38"/>
        <v>-0.51554</v>
      </c>
      <c r="I39" s="26"/>
      <c r="J39" s="46">
        <v>0.25</v>
      </c>
      <c r="K39" s="47">
        <v>-5.7799999999999997E-2</v>
      </c>
      <c r="L39" s="1">
        <f>J39-(MIN($J$14:$J$48)+MAX($J$14:$J$48))/2</f>
        <v>-0.25</v>
      </c>
      <c r="M39" s="8">
        <f>K39-(INDEX($K$14:$K$48,MATCH(MIN($J$14:$J$48),$J$14:$J$48,0))+INDEX($K$14:$K$48,MATCH(MAX($J$14:$J$48),$J$14:$J$48,0)))/2</f>
        <v>-5.8599999999999999E-2</v>
      </c>
      <c r="O39" s="1">
        <f t="shared" si="39"/>
        <v>2.0625599999999977</v>
      </c>
      <c r="P39" s="8">
        <f t="shared" si="40"/>
        <v>-24.745920000000002</v>
      </c>
      <c r="R39" s="1">
        <f t="shared" si="0"/>
        <v>-40.044646657537434</v>
      </c>
      <c r="S39" s="8">
        <f t="shared" si="1"/>
        <v>-37.643366646941175</v>
      </c>
      <c r="U39" s="1">
        <f t="shared" si="2"/>
        <v>-40.841262823424358</v>
      </c>
      <c r="V39" s="8">
        <f t="shared" si="3"/>
        <v>-27.112811875506992</v>
      </c>
      <c r="X39" s="1">
        <f t="shared" si="4"/>
        <v>-36.145601267042927</v>
      </c>
      <c r="Y39" s="8">
        <f t="shared" si="5"/>
        <v>-18.961951292765228</v>
      </c>
      <c r="AA39" s="1">
        <f t="shared" si="6"/>
        <v>-31.221126139924049</v>
      </c>
      <c r="AB39" s="8">
        <f t="shared" si="7"/>
        <v>-13.818452992437415</v>
      </c>
      <c r="AD39" s="1">
        <f t="shared" si="8"/>
        <v>-27.085562975469994</v>
      </c>
      <c r="AE39" s="8">
        <f t="shared" si="9"/>
        <v>-10.538934176375975</v>
      </c>
      <c r="AG39" s="1">
        <f t="shared" si="10"/>
        <v>-23.75855582674313</v>
      </c>
      <c r="AH39" s="8">
        <f t="shared" si="11"/>
        <v>-8.3538396274943683</v>
      </c>
      <c r="AJ39" s="1">
        <f t="shared" si="12"/>
        <v>-21.085401079659807</v>
      </c>
      <c r="AK39" s="8">
        <f t="shared" si="13"/>
        <v>-6.830815956415643</v>
      </c>
      <c r="AM39" s="1">
        <f t="shared" si="14"/>
        <v>-18.914739080971845</v>
      </c>
      <c r="AN39" s="8">
        <f t="shared" si="15"/>
        <v>-5.7263658431706608</v>
      </c>
      <c r="AP39" s="1">
        <f t="shared" si="16"/>
        <v>-17.128007525277688</v>
      </c>
      <c r="AQ39" s="8">
        <f t="shared" si="17"/>
        <v>-4.8981459001078917</v>
      </c>
      <c r="AS39" s="1">
        <f t="shared" si="18"/>
        <v>-17.128007525277688</v>
      </c>
      <c r="AT39" s="8">
        <f t="shared" si="19"/>
        <v>-4.8981459001078917</v>
      </c>
      <c r="AV39" s="1">
        <f t="shared" si="20"/>
        <v>0</v>
      </c>
      <c r="AW39" s="8">
        <f t="shared" si="21"/>
        <v>0</v>
      </c>
      <c r="AY39" s="1">
        <f t="shared" si="22"/>
        <v>0</v>
      </c>
      <c r="AZ39" s="8">
        <f t="shared" si="23"/>
        <v>0</v>
      </c>
      <c r="BB39" s="1">
        <f t="shared" si="24"/>
        <v>0</v>
      </c>
      <c r="BC39" s="8">
        <f t="shared" si="25"/>
        <v>0</v>
      </c>
      <c r="BE39" s="1">
        <f t="shared" si="26"/>
        <v>0</v>
      </c>
      <c r="BF39" s="8">
        <f t="shared" si="27"/>
        <v>0</v>
      </c>
      <c r="BH39" s="1">
        <f t="shared" si="28"/>
        <v>0</v>
      </c>
      <c r="BI39" s="8">
        <f t="shared" si="29"/>
        <v>0</v>
      </c>
      <c r="BK39" s="1">
        <f t="shared" si="30"/>
        <v>0</v>
      </c>
      <c r="BL39" s="8">
        <f t="shared" si="31"/>
        <v>0</v>
      </c>
      <c r="BN39" s="1">
        <f t="shared" si="32"/>
        <v>0</v>
      </c>
      <c r="BO39" s="8">
        <f t="shared" si="33"/>
        <v>0</v>
      </c>
      <c r="BQ39" s="1">
        <f t="shared" si="34"/>
        <v>0</v>
      </c>
      <c r="BR39" s="8">
        <f t="shared" si="35"/>
        <v>0</v>
      </c>
      <c r="BT39" s="1">
        <f t="shared" si="36"/>
        <v>0</v>
      </c>
      <c r="BU39" s="8">
        <f t="shared" si="37"/>
        <v>0</v>
      </c>
    </row>
    <row r="40" spans="5:73" x14ac:dyDescent="0.2">
      <c r="E40" s="32">
        <v>0.63782000000000005</v>
      </c>
      <c r="F40" s="35">
        <v>-0.48063</v>
      </c>
      <c r="G40" s="34">
        <f>E40-(MIN($E$14:$E$46)+MAX($J$14:$J$48))/2</f>
        <v>0.13721000000000005</v>
      </c>
      <c r="H40" s="8">
        <f t="shared" si="38"/>
        <v>-0.49807000000000001</v>
      </c>
      <c r="I40" s="26"/>
      <c r="J40" s="46">
        <v>0.3</v>
      </c>
      <c r="K40" s="47">
        <v>-5.96E-2</v>
      </c>
      <c r="L40" s="1">
        <f>J40-(MIN($J$14:$J$48)+MAX($J$14:$J$48))/2</f>
        <v>-0.2</v>
      </c>
      <c r="M40" s="8">
        <f>K40-(INDEX($K$14:$K$48,MATCH(MIN($J$14:$J$48),$J$14:$J$48,0))+INDEX($K$14:$K$48,MATCH(MAX($J$14:$J$48),$J$14:$J$48,0)))/2</f>
        <v>-6.0400000000000002E-2</v>
      </c>
      <c r="O40" s="1">
        <f t="shared" si="39"/>
        <v>6.5860800000000026</v>
      </c>
      <c r="P40" s="8">
        <f t="shared" si="40"/>
        <v>-23.907360000000004</v>
      </c>
      <c r="R40" s="1">
        <f t="shared" si="0"/>
        <v>-30.587172039655517</v>
      </c>
      <c r="S40" s="8">
        <f t="shared" si="1"/>
        <v>-32.619846823918728</v>
      </c>
      <c r="U40" s="1">
        <f t="shared" si="2"/>
        <v>-31.7738694341997</v>
      </c>
      <c r="V40" s="8">
        <f t="shared" si="3"/>
        <v>-24.109703603168509</v>
      </c>
      <c r="X40" s="1">
        <f t="shared" si="4"/>
        <v>-28.378757394993759</v>
      </c>
      <c r="Y40" s="8">
        <f t="shared" si="5"/>
        <v>-17.250357566943219</v>
      </c>
      <c r="AA40" s="1">
        <f t="shared" si="6"/>
        <v>-24.64367737940292</v>
      </c>
      <c r="AB40" s="8">
        <f t="shared" si="7"/>
        <v>-12.821308491623538</v>
      </c>
      <c r="AD40" s="1">
        <f t="shared" si="8"/>
        <v>-21.453652659043176</v>
      </c>
      <c r="AE40" s="8">
        <f t="shared" si="9"/>
        <v>-9.9462831726946099</v>
      </c>
      <c r="AG40" s="1">
        <f t="shared" si="10"/>
        <v>-18.86408455114228</v>
      </c>
      <c r="AH40" s="8">
        <f t="shared" si="11"/>
        <v>-8.0013973709488848</v>
      </c>
      <c r="AJ40" s="1">
        <f t="shared" si="12"/>
        <v>-16.771515134957717</v>
      </c>
      <c r="AK40" s="8">
        <f t="shared" si="13"/>
        <v>-6.6276425183442367</v>
      </c>
      <c r="AM40" s="1">
        <f t="shared" si="14"/>
        <v>-15.065520432739525</v>
      </c>
      <c r="AN40" s="8">
        <f t="shared" si="15"/>
        <v>-5.6195356470651827</v>
      </c>
      <c r="AP40" s="1">
        <f t="shared" si="16"/>
        <v>-13.657122946608826</v>
      </c>
      <c r="AQ40" s="8">
        <f t="shared" si="17"/>
        <v>-4.8554137195082925</v>
      </c>
      <c r="AS40" s="1">
        <f t="shared" si="18"/>
        <v>-13.657122946608826</v>
      </c>
      <c r="AT40" s="8">
        <f t="shared" si="19"/>
        <v>-4.8554137195082925</v>
      </c>
      <c r="AV40" s="1">
        <f t="shared" si="20"/>
        <v>0</v>
      </c>
      <c r="AW40" s="8">
        <f t="shared" si="21"/>
        <v>0</v>
      </c>
      <c r="AY40" s="1">
        <f t="shared" si="22"/>
        <v>0</v>
      </c>
      <c r="AZ40" s="8">
        <f t="shared" si="23"/>
        <v>0</v>
      </c>
      <c r="BB40" s="1">
        <f t="shared" si="24"/>
        <v>0</v>
      </c>
      <c r="BC40" s="8">
        <f t="shared" si="25"/>
        <v>0</v>
      </c>
      <c r="BE40" s="1">
        <f t="shared" si="26"/>
        <v>0</v>
      </c>
      <c r="BF40" s="8">
        <f t="shared" si="27"/>
        <v>0</v>
      </c>
      <c r="BH40" s="1">
        <f t="shared" si="28"/>
        <v>0</v>
      </c>
      <c r="BI40" s="8">
        <f t="shared" si="29"/>
        <v>0</v>
      </c>
      <c r="BK40" s="1">
        <f t="shared" si="30"/>
        <v>0</v>
      </c>
      <c r="BL40" s="8">
        <f t="shared" si="31"/>
        <v>0</v>
      </c>
      <c r="BN40" s="1">
        <f t="shared" si="32"/>
        <v>0</v>
      </c>
      <c r="BO40" s="8">
        <f t="shared" si="33"/>
        <v>0</v>
      </c>
      <c r="BQ40" s="1">
        <f t="shared" si="34"/>
        <v>0</v>
      </c>
      <c r="BR40" s="8">
        <f t="shared" si="35"/>
        <v>0</v>
      </c>
      <c r="BT40" s="1">
        <f t="shared" si="36"/>
        <v>0</v>
      </c>
      <c r="BU40" s="8">
        <f t="shared" si="37"/>
        <v>0</v>
      </c>
    </row>
    <row r="41" spans="5:73" x14ac:dyDescent="0.2">
      <c r="E41" s="32">
        <v>0.72699999999999998</v>
      </c>
      <c r="F41" s="35">
        <v>-0.44550000000000001</v>
      </c>
      <c r="G41" s="34">
        <f>E41-(MIN($E$14:$E$46)+MAX($J$14:$J$48))/2</f>
        <v>0.22638999999999998</v>
      </c>
      <c r="H41" s="8">
        <f t="shared" si="38"/>
        <v>-0.46294000000000002</v>
      </c>
      <c r="I41" s="26"/>
      <c r="J41" s="46">
        <v>0.4</v>
      </c>
      <c r="K41" s="47">
        <v>-5.9200000000000003E-2</v>
      </c>
      <c r="L41" s="1">
        <f>J41-(MIN($J$14:$J$48)+MAX($J$14:$J$48))/2</f>
        <v>-9.9999999999999978E-2</v>
      </c>
      <c r="M41" s="8">
        <f>K41-(INDEX($K$14:$K$48,MATCH(MIN($J$14:$J$48),$J$14:$J$48,0))+INDEX($K$14:$K$48,MATCH(MAX($J$14:$J$48),$J$14:$J$48,0)))/2</f>
        <v>-6.0000000000000005E-2</v>
      </c>
      <c r="O41" s="1">
        <f t="shared" si="39"/>
        <v>10.866719999999999</v>
      </c>
      <c r="P41" s="8">
        <f t="shared" si="40"/>
        <v>-22.221119999999999</v>
      </c>
      <c r="R41" s="1">
        <f t="shared" si="0"/>
        <v>-12.100786498085281</v>
      </c>
      <c r="S41" s="8">
        <f t="shared" si="1"/>
        <v>-21.831637501434258</v>
      </c>
      <c r="U41" s="1">
        <f t="shared" si="2"/>
        <v>-13.905100651176342</v>
      </c>
      <c r="V41" s="8">
        <f t="shared" si="3"/>
        <v>-17.387672235188905</v>
      </c>
      <c r="X41" s="1">
        <f t="shared" si="4"/>
        <v>-13.004159478895575</v>
      </c>
      <c r="Y41" s="8">
        <f t="shared" si="5"/>
        <v>-13.211549839343268</v>
      </c>
      <c r="AA41" s="1">
        <f t="shared" si="6"/>
        <v>-11.587366702306308</v>
      </c>
      <c r="AB41" s="8">
        <f t="shared" si="7"/>
        <v>-10.30437271553614</v>
      </c>
      <c r="AD41" s="1">
        <f t="shared" si="8"/>
        <v>-10.253381647885636</v>
      </c>
      <c r="AE41" s="8">
        <f t="shared" si="9"/>
        <v>-8.3127161263987954</v>
      </c>
      <c r="AG41" s="1">
        <f t="shared" si="10"/>
        <v>-9.1173787189501194</v>
      </c>
      <c r="AH41" s="8">
        <f t="shared" si="11"/>
        <v>-6.90647567769419</v>
      </c>
      <c r="AJ41" s="1">
        <f t="shared" si="12"/>
        <v>-8.1723839937103726</v>
      </c>
      <c r="AK41" s="8">
        <f t="shared" si="13"/>
        <v>-5.8772158335589006</v>
      </c>
      <c r="AM41" s="1">
        <f t="shared" si="14"/>
        <v>-7.386689891315692</v>
      </c>
      <c r="AN41" s="8">
        <f t="shared" si="15"/>
        <v>-5.0986436061771094</v>
      </c>
      <c r="AP41" s="1">
        <f t="shared" si="16"/>
        <v>-6.7287511483283007</v>
      </c>
      <c r="AQ41" s="8">
        <f t="shared" si="17"/>
        <v>-4.4927608969416459</v>
      </c>
      <c r="AS41" s="1">
        <f t="shared" si="18"/>
        <v>-6.7287511483283007</v>
      </c>
      <c r="AT41" s="8">
        <f t="shared" si="19"/>
        <v>-4.4927608969416459</v>
      </c>
      <c r="AV41" s="1">
        <f t="shared" si="20"/>
        <v>0</v>
      </c>
      <c r="AW41" s="8">
        <f t="shared" si="21"/>
        <v>0</v>
      </c>
      <c r="AY41" s="1">
        <f t="shared" si="22"/>
        <v>0</v>
      </c>
      <c r="AZ41" s="8">
        <f t="shared" si="23"/>
        <v>0</v>
      </c>
      <c r="BB41" s="1">
        <f t="shared" si="24"/>
        <v>0</v>
      </c>
      <c r="BC41" s="8">
        <f t="shared" si="25"/>
        <v>0</v>
      </c>
      <c r="BE41" s="1">
        <f t="shared" si="26"/>
        <v>0</v>
      </c>
      <c r="BF41" s="8">
        <f t="shared" si="27"/>
        <v>0</v>
      </c>
      <c r="BH41" s="1">
        <f t="shared" si="28"/>
        <v>0</v>
      </c>
      <c r="BI41" s="8">
        <f t="shared" si="29"/>
        <v>0</v>
      </c>
      <c r="BK41" s="1">
        <f t="shared" si="30"/>
        <v>0</v>
      </c>
      <c r="BL41" s="8">
        <f t="shared" si="31"/>
        <v>0</v>
      </c>
      <c r="BN41" s="1">
        <f t="shared" si="32"/>
        <v>0</v>
      </c>
      <c r="BO41" s="8">
        <f t="shared" si="33"/>
        <v>0</v>
      </c>
      <c r="BQ41" s="1">
        <f t="shared" si="34"/>
        <v>0</v>
      </c>
      <c r="BR41" s="8">
        <f t="shared" si="35"/>
        <v>0</v>
      </c>
      <c r="BT41" s="1">
        <f t="shared" si="36"/>
        <v>0</v>
      </c>
      <c r="BU41" s="8">
        <f t="shared" si="37"/>
        <v>0</v>
      </c>
    </row>
    <row r="42" spans="5:73" x14ac:dyDescent="0.2">
      <c r="E42" s="32">
        <v>0.80783000000000005</v>
      </c>
      <c r="F42" s="35">
        <v>-0.39401000000000003</v>
      </c>
      <c r="G42" s="34">
        <f>E42-(MIN($E$14:$E$46)+MAX($J$14:$J$48))/2</f>
        <v>0.30722000000000005</v>
      </c>
      <c r="H42" s="8">
        <f t="shared" si="38"/>
        <v>-0.41145000000000004</v>
      </c>
      <c r="I42" s="26"/>
      <c r="J42" s="46">
        <v>0.5</v>
      </c>
      <c r="K42" s="47">
        <v>-5.5E-2</v>
      </c>
      <c r="L42" s="1">
        <f>J42-(MIN($J$14:$J$48)+MAX($J$14:$J$48))/2</f>
        <v>0</v>
      </c>
      <c r="M42" s="8">
        <f>K42-(INDEX($K$14:$K$48,MATCH(MIN($J$14:$J$48),$J$14:$J$48,0))+INDEX($K$14:$K$48,MATCH(MAX($J$14:$J$48),$J$14:$J$48,0)))/2</f>
        <v>-5.5800000000000002E-2</v>
      </c>
      <c r="O42" s="1">
        <f t="shared" si="39"/>
        <v>14.746560000000002</v>
      </c>
      <c r="P42" s="8">
        <f t="shared" si="40"/>
        <v>-19.749600000000001</v>
      </c>
      <c r="R42" s="1">
        <f t="shared" si="0"/>
        <v>5.9784635340010031</v>
      </c>
      <c r="S42" s="8">
        <f t="shared" si="1"/>
        <v>-10.339316986332191</v>
      </c>
      <c r="U42" s="1">
        <f t="shared" si="2"/>
        <v>3.7109510361923297</v>
      </c>
      <c r="V42" s="8">
        <f t="shared" si="3"/>
        <v>-9.9856167850717998</v>
      </c>
      <c r="X42" s="1">
        <f t="shared" si="4"/>
        <v>2.2193031006024304</v>
      </c>
      <c r="Y42" s="8">
        <f t="shared" si="5"/>
        <v>-8.5879028495851912</v>
      </c>
      <c r="AA42" s="1">
        <f t="shared" si="6"/>
        <v>1.3752864730419205</v>
      </c>
      <c r="AB42" s="8">
        <f t="shared" si="7"/>
        <v>-7.2909225037120748</v>
      </c>
      <c r="AD42" s="1">
        <f t="shared" si="8"/>
        <v>0.88651722266059907</v>
      </c>
      <c r="AE42" s="8">
        <f t="shared" si="9"/>
        <v>-6.2532972931165469</v>
      </c>
      <c r="AG42" s="1">
        <f t="shared" si="10"/>
        <v>0.58920223018298334</v>
      </c>
      <c r="AH42" s="8">
        <f t="shared" si="11"/>
        <v>-5.4410186632839581</v>
      </c>
      <c r="AJ42" s="1">
        <f t="shared" si="12"/>
        <v>0.39953843678796536</v>
      </c>
      <c r="AK42" s="8">
        <f t="shared" si="13"/>
        <v>-4.799913330563168</v>
      </c>
      <c r="AM42" s="1">
        <f t="shared" si="14"/>
        <v>0.27351423281936205</v>
      </c>
      <c r="AN42" s="8">
        <f t="shared" si="15"/>
        <v>-4.2858814990457743</v>
      </c>
      <c r="AP42" s="1">
        <f t="shared" si="16"/>
        <v>0.18689315884788466</v>
      </c>
      <c r="AQ42" s="8">
        <f t="shared" si="17"/>
        <v>-3.8667790360759242</v>
      </c>
      <c r="AS42" s="1">
        <f t="shared" si="18"/>
        <v>0.18689315884788466</v>
      </c>
      <c r="AT42" s="8">
        <f t="shared" si="19"/>
        <v>-3.8667790360759242</v>
      </c>
      <c r="AV42" s="1">
        <f t="shared" si="20"/>
        <v>0</v>
      </c>
      <c r="AW42" s="8">
        <f t="shared" si="21"/>
        <v>0</v>
      </c>
      <c r="AY42" s="1">
        <f t="shared" si="22"/>
        <v>0</v>
      </c>
      <c r="AZ42" s="8">
        <f t="shared" si="23"/>
        <v>0</v>
      </c>
      <c r="BB42" s="1">
        <f t="shared" si="24"/>
        <v>0</v>
      </c>
      <c r="BC42" s="8">
        <f t="shared" si="25"/>
        <v>0</v>
      </c>
      <c r="BE42" s="1">
        <f t="shared" si="26"/>
        <v>0</v>
      </c>
      <c r="BF42" s="8">
        <f t="shared" si="27"/>
        <v>0</v>
      </c>
      <c r="BH42" s="1">
        <f t="shared" si="28"/>
        <v>0</v>
      </c>
      <c r="BI42" s="8">
        <f t="shared" si="29"/>
        <v>0</v>
      </c>
      <c r="BK42" s="1">
        <f t="shared" si="30"/>
        <v>0</v>
      </c>
      <c r="BL42" s="8">
        <f t="shared" si="31"/>
        <v>0</v>
      </c>
      <c r="BN42" s="1">
        <f t="shared" si="32"/>
        <v>0</v>
      </c>
      <c r="BO42" s="8">
        <f t="shared" si="33"/>
        <v>0</v>
      </c>
      <c r="BQ42" s="1">
        <f t="shared" si="34"/>
        <v>0</v>
      </c>
      <c r="BR42" s="8">
        <f t="shared" si="35"/>
        <v>0</v>
      </c>
      <c r="BT42" s="1">
        <f t="shared" si="36"/>
        <v>0</v>
      </c>
      <c r="BU42" s="8">
        <f t="shared" si="37"/>
        <v>0</v>
      </c>
    </row>
    <row r="43" spans="5:73" x14ac:dyDescent="0.2">
      <c r="E43" s="32">
        <v>0.87734999999999996</v>
      </c>
      <c r="F43" s="35">
        <v>-0.32802999999999999</v>
      </c>
      <c r="G43" s="34">
        <f>E43-(MIN($E$14:$E$46)+MAX($J$14:$J$48))/2</f>
        <v>0.37673999999999996</v>
      </c>
      <c r="H43" s="8">
        <f t="shared" si="38"/>
        <v>-0.34547</v>
      </c>
      <c r="I43" s="26"/>
      <c r="J43" s="46">
        <v>0.6</v>
      </c>
      <c r="K43" s="47">
        <v>-4.8099999999999997E-2</v>
      </c>
      <c r="L43" s="1">
        <f>J43-(MIN($J$14:$J$48)+MAX($J$14:$J$48))/2</f>
        <v>9.9999999999999978E-2</v>
      </c>
      <c r="M43" s="8">
        <f>K43-(INDEX($K$14:$K$48,MATCH(MIN($J$14:$J$48),$J$14:$J$48,0))+INDEX($K$14:$K$48,MATCH(MAX($J$14:$J$48),$J$14:$J$48,0)))/2</f>
        <v>-4.8899999999999999E-2</v>
      </c>
      <c r="O43" s="1">
        <f t="shared" si="39"/>
        <v>18.08352</v>
      </c>
      <c r="P43" s="8">
        <f t="shared" si="40"/>
        <v>-16.582560000000001</v>
      </c>
      <c r="R43" s="1">
        <f t="shared" si="0"/>
        <v>23.768433072506593</v>
      </c>
      <c r="S43" s="8">
        <f t="shared" si="1"/>
        <v>1.6532930603665961</v>
      </c>
      <c r="U43" s="1">
        <f t="shared" si="2"/>
        <v>21.147440576648467</v>
      </c>
      <c r="V43" s="8">
        <f t="shared" si="3"/>
        <v>-2.1003863292254144</v>
      </c>
      <c r="X43" s="1">
        <f t="shared" si="4"/>
        <v>17.335380046200317</v>
      </c>
      <c r="Y43" s="8">
        <f t="shared" si="5"/>
        <v>-3.548712173556861</v>
      </c>
      <c r="AA43" s="1">
        <f t="shared" si="6"/>
        <v>14.271393528726831</v>
      </c>
      <c r="AB43" s="8">
        <f t="shared" si="7"/>
        <v>-3.9246857191277496</v>
      </c>
      <c r="AD43" s="1">
        <f t="shared" si="8"/>
        <v>11.983520098561968</v>
      </c>
      <c r="AE43" s="8">
        <f t="shared" si="9"/>
        <v>-3.8912995585544672</v>
      </c>
      <c r="AG43" s="1">
        <f t="shared" si="10"/>
        <v>10.267273393984651</v>
      </c>
      <c r="AH43" s="8">
        <f t="shared" si="11"/>
        <v>-3.7122865522632118</v>
      </c>
      <c r="AJ43" s="1">
        <f t="shared" si="12"/>
        <v>8.9521283622804333</v>
      </c>
      <c r="AK43" s="8">
        <f t="shared" si="13"/>
        <v>-3.4903569567337343</v>
      </c>
      <c r="AM43" s="1">
        <f t="shared" si="14"/>
        <v>7.9204837973018662</v>
      </c>
      <c r="AN43" s="8">
        <f t="shared" si="15"/>
        <v>-3.265738029057387</v>
      </c>
      <c r="AP43" s="1">
        <f t="shared" si="16"/>
        <v>7.0934942486604635</v>
      </c>
      <c r="AQ43" s="8">
        <f t="shared" si="17"/>
        <v>-3.0536949637871724</v>
      </c>
      <c r="AS43" s="1">
        <f t="shared" si="18"/>
        <v>7.0934942486604635</v>
      </c>
      <c r="AT43" s="8">
        <f t="shared" si="19"/>
        <v>-3.0536949637871724</v>
      </c>
      <c r="AV43" s="1">
        <f t="shared" si="20"/>
        <v>0</v>
      </c>
      <c r="AW43" s="8">
        <f t="shared" si="21"/>
        <v>0</v>
      </c>
      <c r="AY43" s="1">
        <f t="shared" si="22"/>
        <v>0</v>
      </c>
      <c r="AZ43" s="8">
        <f t="shared" si="23"/>
        <v>0</v>
      </c>
      <c r="BB43" s="1">
        <f t="shared" si="24"/>
        <v>0</v>
      </c>
      <c r="BC43" s="8">
        <f t="shared" si="25"/>
        <v>0</v>
      </c>
      <c r="BE43" s="1">
        <f t="shared" si="26"/>
        <v>0</v>
      </c>
      <c r="BF43" s="8">
        <f t="shared" si="27"/>
        <v>0</v>
      </c>
      <c r="BH43" s="1">
        <f t="shared" si="28"/>
        <v>0</v>
      </c>
      <c r="BI43" s="8">
        <f t="shared" si="29"/>
        <v>0</v>
      </c>
      <c r="BK43" s="1">
        <f t="shared" si="30"/>
        <v>0</v>
      </c>
      <c r="BL43" s="8">
        <f t="shared" si="31"/>
        <v>0</v>
      </c>
      <c r="BN43" s="1">
        <f t="shared" si="32"/>
        <v>0</v>
      </c>
      <c r="BO43" s="8">
        <f t="shared" si="33"/>
        <v>0</v>
      </c>
      <c r="BQ43" s="1">
        <f t="shared" si="34"/>
        <v>0</v>
      </c>
      <c r="BR43" s="8">
        <f t="shared" si="35"/>
        <v>0</v>
      </c>
      <c r="BT43" s="1">
        <f t="shared" si="36"/>
        <v>0</v>
      </c>
      <c r="BU43" s="8">
        <f t="shared" si="37"/>
        <v>0</v>
      </c>
    </row>
    <row r="44" spans="5:73" x14ac:dyDescent="0.2">
      <c r="E44" s="32">
        <v>0.93301000000000001</v>
      </c>
      <c r="F44" s="35">
        <v>-0.25</v>
      </c>
      <c r="G44" s="34">
        <f>E44-(MIN($E$14:$E$46)+MAX($J$14:$J$48))/2</f>
        <v>0.43240000000000001</v>
      </c>
      <c r="H44" s="8">
        <f t="shared" si="38"/>
        <v>-0.26744000000000001</v>
      </c>
      <c r="I44" s="26"/>
      <c r="J44" s="46">
        <v>0.7</v>
      </c>
      <c r="K44" s="47">
        <v>-3.9100000000000003E-2</v>
      </c>
      <c r="L44" s="1">
        <f>J44-(MIN($J$14:$J$48)+MAX($J$14:$J$48))/2</f>
        <v>0.19999999999999996</v>
      </c>
      <c r="M44" s="8">
        <f>K44-(INDEX($K$14:$K$48,MATCH(MIN($J$14:$J$48),$J$14:$J$48,0))+INDEX($K$14:$K$48,MATCH(MAX($J$14:$J$48),$J$14:$J$48,0)))/2</f>
        <v>-3.9900000000000005E-2</v>
      </c>
      <c r="O44" s="1">
        <f t="shared" si="39"/>
        <v>20.755200000000002</v>
      </c>
      <c r="P44" s="8">
        <f t="shared" si="40"/>
        <v>-12.837120000000001</v>
      </c>
      <c r="R44" s="1">
        <f t="shared" si="0"/>
        <v>41.333406671560532</v>
      </c>
      <c r="S44" s="8">
        <f t="shared" si="1"/>
        <v>14.035017187196162</v>
      </c>
      <c r="U44" s="1">
        <f t="shared" si="2"/>
        <v>38.444270669505975</v>
      </c>
      <c r="V44" s="8">
        <f t="shared" si="3"/>
        <v>6.1606469088548543</v>
      </c>
      <c r="X44" s="1">
        <f t="shared" si="4"/>
        <v>32.367934832098115</v>
      </c>
      <c r="Y44" s="8">
        <f t="shared" si="5"/>
        <v>1.8136791473483285</v>
      </c>
      <c r="AA44" s="1">
        <f t="shared" si="6"/>
        <v>27.115742491340271</v>
      </c>
      <c r="AB44" s="8">
        <f t="shared" si="7"/>
        <v>-0.28405937795211045</v>
      </c>
      <c r="AD44" s="1">
        <f t="shared" si="8"/>
        <v>23.047159423072884</v>
      </c>
      <c r="AE44" s="8">
        <f t="shared" si="9"/>
        <v>-1.293962678552518</v>
      </c>
      <c r="AG44" s="1">
        <f t="shared" si="10"/>
        <v>19.923170280306312</v>
      </c>
      <c r="AH44" s="8">
        <f t="shared" si="11"/>
        <v>-1.778784921656511</v>
      </c>
      <c r="AJ44" s="1">
        <f t="shared" si="12"/>
        <v>17.489681894990557</v>
      </c>
      <c r="AK44" s="8">
        <f t="shared" si="13"/>
        <v>-2.000158683366978</v>
      </c>
      <c r="AM44" s="1">
        <f t="shared" si="14"/>
        <v>15.557159815387942</v>
      </c>
      <c r="AN44" s="8">
        <f t="shared" si="15"/>
        <v>-2.0842979435135129</v>
      </c>
      <c r="AP44" s="1">
        <f t="shared" si="16"/>
        <v>13.993061724968014</v>
      </c>
      <c r="AQ44" s="8">
        <f t="shared" si="17"/>
        <v>-2.09508694928051</v>
      </c>
      <c r="AS44" s="1">
        <f t="shared" si="18"/>
        <v>13.993061724968014</v>
      </c>
      <c r="AT44" s="8">
        <f t="shared" si="19"/>
        <v>-2.09508694928051</v>
      </c>
      <c r="AV44" s="1">
        <f t="shared" si="20"/>
        <v>0</v>
      </c>
      <c r="AW44" s="8">
        <f t="shared" si="21"/>
        <v>0</v>
      </c>
      <c r="AY44" s="1">
        <f t="shared" si="22"/>
        <v>0</v>
      </c>
      <c r="AZ44" s="8">
        <f t="shared" si="23"/>
        <v>0</v>
      </c>
      <c r="BB44" s="1">
        <f t="shared" si="24"/>
        <v>0</v>
      </c>
      <c r="BC44" s="8">
        <f t="shared" si="25"/>
        <v>0</v>
      </c>
      <c r="BE44" s="1">
        <f t="shared" si="26"/>
        <v>0</v>
      </c>
      <c r="BF44" s="8">
        <f t="shared" si="27"/>
        <v>0</v>
      </c>
      <c r="BH44" s="1">
        <f t="shared" si="28"/>
        <v>0</v>
      </c>
      <c r="BI44" s="8">
        <f t="shared" si="29"/>
        <v>0</v>
      </c>
      <c r="BK44" s="1">
        <f t="shared" si="30"/>
        <v>0</v>
      </c>
      <c r="BL44" s="8">
        <f t="shared" si="31"/>
        <v>0</v>
      </c>
      <c r="BN44" s="1">
        <f t="shared" si="32"/>
        <v>0</v>
      </c>
      <c r="BO44" s="8">
        <f t="shared" si="33"/>
        <v>0</v>
      </c>
      <c r="BQ44" s="1">
        <f t="shared" si="34"/>
        <v>0</v>
      </c>
      <c r="BR44" s="8">
        <f t="shared" si="35"/>
        <v>0</v>
      </c>
      <c r="BT44" s="1">
        <f t="shared" si="36"/>
        <v>0</v>
      </c>
      <c r="BU44" s="8">
        <f t="shared" si="37"/>
        <v>0</v>
      </c>
    </row>
    <row r="45" spans="5:73" x14ac:dyDescent="0.2">
      <c r="E45" s="32">
        <v>0.97275999999999996</v>
      </c>
      <c r="F45" s="35">
        <v>-0.16278000000000001</v>
      </c>
      <c r="G45" s="34">
        <f>E45-(MIN($E$14:$E$46)+MAX($J$14:$J$48))/2</f>
        <v>0.47214999999999996</v>
      </c>
      <c r="H45" s="8">
        <f t="shared" si="38"/>
        <v>-0.18022000000000002</v>
      </c>
      <c r="I45" s="26"/>
      <c r="J45" s="46">
        <v>0.8</v>
      </c>
      <c r="K45" s="47">
        <v>-2.8299999999999999E-2</v>
      </c>
      <c r="L45" s="1">
        <f>J45-(MIN($J$14:$J$48)+MAX($J$14:$J$48))/2</f>
        <v>0.30000000000000004</v>
      </c>
      <c r="M45" s="8">
        <f>K45-(INDEX($K$14:$K$48,MATCH(MIN($J$14:$J$48),$J$14:$J$48,0))+INDEX($K$14:$K$48,MATCH(MAX($J$14:$J$48),$J$14:$J$48,0)))/2</f>
        <v>-2.9099999999999997E-2</v>
      </c>
      <c r="O45" s="1">
        <f t="shared" si="39"/>
        <v>22.663199999999996</v>
      </c>
      <c r="P45" s="8">
        <f t="shared" si="40"/>
        <v>-8.6505600000000022</v>
      </c>
      <c r="R45" s="1">
        <f t="shared" si="0"/>
        <v>58.705526608227373</v>
      </c>
      <c r="S45" s="8">
        <f t="shared" si="1"/>
        <v>26.750267668423557</v>
      </c>
      <c r="U45" s="1">
        <f t="shared" si="2"/>
        <v>55.621392664421812</v>
      </c>
      <c r="V45" s="8">
        <f t="shared" si="3"/>
        <v>14.743796817421321</v>
      </c>
      <c r="X45" s="1">
        <f t="shared" si="4"/>
        <v>47.328899195395856</v>
      </c>
      <c r="Y45" s="8">
        <f t="shared" si="5"/>
        <v>7.4530995924336931</v>
      </c>
      <c r="AA45" s="1">
        <f t="shared" si="6"/>
        <v>39.915727374178182</v>
      </c>
      <c r="AB45" s="8">
        <f t="shared" si="7"/>
        <v>3.591758011730374</v>
      </c>
      <c r="AD45" s="1">
        <f t="shared" si="8"/>
        <v>34.082201417820571</v>
      </c>
      <c r="AE45" s="8">
        <f t="shared" si="9"/>
        <v>1.5050934689693227</v>
      </c>
      <c r="AG45" s="1">
        <f t="shared" si="10"/>
        <v>29.560060643073697</v>
      </c>
      <c r="AH45" s="8">
        <f t="shared" si="11"/>
        <v>0.33023344002386862</v>
      </c>
      <c r="AJ45" s="1">
        <f t="shared" si="12"/>
        <v>26.01434709103011</v>
      </c>
      <c r="AK45" s="8">
        <f t="shared" si="13"/>
        <v>-0.35512449611108521</v>
      </c>
      <c r="AM45" s="1">
        <f t="shared" si="14"/>
        <v>23.18501279370566</v>
      </c>
      <c r="AN45" s="8">
        <f t="shared" si="15"/>
        <v>-0.76460361606493554</v>
      </c>
      <c r="AP45" s="1">
        <f t="shared" si="16"/>
        <v>20.886600389699836</v>
      </c>
      <c r="AQ45" s="8">
        <f t="shared" si="17"/>
        <v>-1.0117441271584942</v>
      </c>
      <c r="AS45" s="1">
        <f t="shared" si="18"/>
        <v>20.886600389699836</v>
      </c>
      <c r="AT45" s="8">
        <f t="shared" si="19"/>
        <v>-1.0117441271584942</v>
      </c>
      <c r="AV45" s="1">
        <f t="shared" si="20"/>
        <v>0</v>
      </c>
      <c r="AW45" s="8">
        <f t="shared" si="21"/>
        <v>0</v>
      </c>
      <c r="AY45" s="1">
        <f t="shared" si="22"/>
        <v>0</v>
      </c>
      <c r="AZ45" s="8">
        <f t="shared" si="23"/>
        <v>0</v>
      </c>
      <c r="BB45" s="1">
        <f t="shared" si="24"/>
        <v>0</v>
      </c>
      <c r="BC45" s="8">
        <f t="shared" si="25"/>
        <v>0</v>
      </c>
      <c r="BE45" s="1">
        <f t="shared" si="26"/>
        <v>0</v>
      </c>
      <c r="BF45" s="8">
        <f t="shared" si="27"/>
        <v>0</v>
      </c>
      <c r="BH45" s="1">
        <f t="shared" si="28"/>
        <v>0</v>
      </c>
      <c r="BI45" s="8">
        <f t="shared" si="29"/>
        <v>0</v>
      </c>
      <c r="BK45" s="1">
        <f t="shared" si="30"/>
        <v>0</v>
      </c>
      <c r="BL45" s="8">
        <f t="shared" si="31"/>
        <v>0</v>
      </c>
      <c r="BN45" s="1">
        <f t="shared" si="32"/>
        <v>0</v>
      </c>
      <c r="BO45" s="8">
        <f t="shared" si="33"/>
        <v>0</v>
      </c>
      <c r="BQ45" s="1">
        <f t="shared" si="34"/>
        <v>0</v>
      </c>
      <c r="BR45" s="8">
        <f t="shared" si="35"/>
        <v>0</v>
      </c>
      <c r="BT45" s="1">
        <f t="shared" si="36"/>
        <v>0</v>
      </c>
      <c r="BU45" s="8">
        <f t="shared" si="37"/>
        <v>0</v>
      </c>
    </row>
    <row r="46" spans="5:73" ht="17" thickBot="1" x14ac:dyDescent="0.25">
      <c r="E46" s="33">
        <v>0.99512999999999996</v>
      </c>
      <c r="F46" s="36">
        <v>-6.9589999999999999E-2</v>
      </c>
      <c r="G46" s="27">
        <f>E46-(MIN($E$14:$E$46)+MAX($J$14:$J$48))/2</f>
        <v>0.49451999999999996</v>
      </c>
      <c r="H46" s="9">
        <f t="shared" si="38"/>
        <v>-8.7029999999999996E-2</v>
      </c>
      <c r="I46" s="26"/>
      <c r="J46" s="46">
        <v>0.9</v>
      </c>
      <c r="K46" s="47">
        <v>-1.5900000000000001E-2</v>
      </c>
      <c r="L46" s="1">
        <f>J46-(MIN($J$14:$J$48)+MAX($J$14:$J$48))/2</f>
        <v>0.4</v>
      </c>
      <c r="M46" s="8">
        <f>K46-(INDEX($K$14:$K$48,MATCH(MIN($J$14:$J$48),$J$14:$J$48,0))+INDEX($K$14:$K$48,MATCH(MAX($J$14:$J$48),$J$14:$J$48,0)))/2</f>
        <v>-1.67E-2</v>
      </c>
      <c r="O46" s="2">
        <f t="shared" si="39"/>
        <v>23.736959999999996</v>
      </c>
      <c r="P46" s="9">
        <f t="shared" si="40"/>
        <v>-4.1774399999999998</v>
      </c>
      <c r="R46" s="1">
        <f t="shared" si="0"/>
        <v>75.906221067216734</v>
      </c>
      <c r="S46" s="8">
        <f t="shared" si="1"/>
        <v>39.761986020226772</v>
      </c>
      <c r="U46" s="1">
        <f t="shared" si="2"/>
        <v>72.69210746116724</v>
      </c>
      <c r="V46" s="8">
        <f t="shared" si="3"/>
        <v>23.613272655308837</v>
      </c>
      <c r="X46" s="1">
        <f t="shared" si="4"/>
        <v>62.2262276274935</v>
      </c>
      <c r="Y46" s="8">
        <f t="shared" si="5"/>
        <v>13.338768147901423</v>
      </c>
      <c r="AA46" s="1">
        <f t="shared" si="6"/>
        <v>52.676277519437811</v>
      </c>
      <c r="AB46" s="8">
        <f t="shared" si="7"/>
        <v>7.676634111196714</v>
      </c>
      <c r="AD46" s="1">
        <f t="shared" si="8"/>
        <v>45.091823563889797</v>
      </c>
      <c r="AE46" s="8">
        <f t="shared" si="9"/>
        <v>4.4834556320643957</v>
      </c>
      <c r="AG46" s="1">
        <f t="shared" si="10"/>
        <v>39.180056318237263</v>
      </c>
      <c r="AH46" s="8">
        <f t="shared" si="11"/>
        <v>2.5952666737697361</v>
      </c>
      <c r="AJ46" s="1">
        <f t="shared" si="12"/>
        <v>34.52755598780692</v>
      </c>
      <c r="AK46" s="8">
        <f t="shared" si="13"/>
        <v>1.4275416146018143</v>
      </c>
      <c r="AM46" s="1">
        <f t="shared" si="14"/>
        <v>30.805023070007049</v>
      </c>
      <c r="AN46" s="8">
        <f t="shared" si="15"/>
        <v>0.67798337085448723</v>
      </c>
      <c r="AP46" s="1">
        <f t="shared" si="16"/>
        <v>27.774780110808766</v>
      </c>
      <c r="AQ46" s="8">
        <f t="shared" si="17"/>
        <v>0.18247407951050049</v>
      </c>
      <c r="AS46" s="1">
        <f t="shared" si="18"/>
        <v>27.774780110808766</v>
      </c>
      <c r="AT46" s="8">
        <f t="shared" si="19"/>
        <v>0.18247407951050049</v>
      </c>
      <c r="AV46" s="1">
        <f t="shared" si="20"/>
        <v>0</v>
      </c>
      <c r="AW46" s="8">
        <f t="shared" si="21"/>
        <v>0</v>
      </c>
      <c r="AY46" s="1">
        <f t="shared" si="22"/>
        <v>0</v>
      </c>
      <c r="AZ46" s="8">
        <f t="shared" si="23"/>
        <v>0</v>
      </c>
      <c r="BB46" s="1">
        <f t="shared" si="24"/>
        <v>0</v>
      </c>
      <c r="BC46" s="8">
        <f t="shared" si="25"/>
        <v>0</v>
      </c>
      <c r="BE46" s="1">
        <f t="shared" si="26"/>
        <v>0</v>
      </c>
      <c r="BF46" s="8">
        <f t="shared" si="27"/>
        <v>0</v>
      </c>
      <c r="BH46" s="1">
        <f t="shared" si="28"/>
        <v>0</v>
      </c>
      <c r="BI46" s="8">
        <f t="shared" si="29"/>
        <v>0</v>
      </c>
      <c r="BK46" s="1">
        <f t="shared" si="30"/>
        <v>0</v>
      </c>
      <c r="BL46" s="8">
        <f t="shared" si="31"/>
        <v>0</v>
      </c>
      <c r="BN46" s="1">
        <f t="shared" si="32"/>
        <v>0</v>
      </c>
      <c r="BO46" s="8">
        <f t="shared" si="33"/>
        <v>0</v>
      </c>
      <c r="BQ46" s="1">
        <f t="shared" si="34"/>
        <v>0</v>
      </c>
      <c r="BR46" s="8">
        <f t="shared" si="35"/>
        <v>0</v>
      </c>
      <c r="BT46" s="1">
        <f t="shared" si="36"/>
        <v>0</v>
      </c>
      <c r="BU46" s="8">
        <f t="shared" si="37"/>
        <v>0</v>
      </c>
    </row>
    <row r="47" spans="5:73" x14ac:dyDescent="0.2">
      <c r="J47" s="46">
        <v>0.95</v>
      </c>
      <c r="K47" s="47">
        <v>-8.9999999999999993E-3</v>
      </c>
      <c r="L47" s="1">
        <f>J47-(MIN($J$14:$J$48)+MAX($J$14:$J$48))/2</f>
        <v>0.44999999999999996</v>
      </c>
      <c r="M47" s="8">
        <f>K47-(INDEX($K$14:$K$48,MATCH(MIN($J$14:$J$48),$J$14:$J$48,0))+INDEX($K$14:$K$48,MATCH(MAX($J$14:$J$48),$J$14:$J$48,0)))/2</f>
        <v>-9.7999999999999997E-3</v>
      </c>
      <c r="R47" s="1">
        <f t="shared" si="0"/>
        <v>84.431569650227502</v>
      </c>
      <c r="S47" s="8">
        <f t="shared" si="1"/>
        <v>46.397549889505299</v>
      </c>
      <c r="U47" s="1">
        <f t="shared" si="2"/>
        <v>81.180911710340396</v>
      </c>
      <c r="V47" s="8">
        <f t="shared" si="3"/>
        <v>28.173278168330548</v>
      </c>
      <c r="X47" s="1">
        <f t="shared" si="4"/>
        <v>69.647051123642285</v>
      </c>
      <c r="Y47" s="8">
        <f t="shared" si="5"/>
        <v>16.389335973927576</v>
      </c>
      <c r="AA47" s="1">
        <f t="shared" si="6"/>
        <v>59.03929989437713</v>
      </c>
      <c r="AB47" s="8">
        <f t="shared" si="7"/>
        <v>9.8105353464603198</v>
      </c>
      <c r="AD47" s="1">
        <f t="shared" si="8"/>
        <v>50.585513453127589</v>
      </c>
      <c r="AE47" s="8">
        <f t="shared" si="9"/>
        <v>6.0510830954252208</v>
      </c>
      <c r="AG47" s="1">
        <f t="shared" si="10"/>
        <v>43.982662729992363</v>
      </c>
      <c r="AH47" s="8">
        <f t="shared" si="11"/>
        <v>3.7960397971713209</v>
      </c>
      <c r="AJ47" s="1">
        <f t="shared" si="12"/>
        <v>38.779148305267874</v>
      </c>
      <c r="AK47" s="8">
        <f t="shared" si="13"/>
        <v>2.3790886364707053</v>
      </c>
      <c r="AM47" s="1">
        <f t="shared" si="14"/>
        <v>34.611597026025592</v>
      </c>
      <c r="AN47" s="8">
        <f t="shared" si="15"/>
        <v>1.4530424028326936</v>
      </c>
      <c r="AP47" s="1">
        <f t="shared" si="16"/>
        <v>31.216525433528226</v>
      </c>
      <c r="AQ47" s="8">
        <f t="shared" si="17"/>
        <v>0.82809116358430135</v>
      </c>
      <c r="AS47" s="1">
        <f t="shared" si="18"/>
        <v>31.216525433528226</v>
      </c>
      <c r="AT47" s="8">
        <f t="shared" si="19"/>
        <v>0.82809116358430135</v>
      </c>
      <c r="AV47" s="1">
        <f t="shared" si="20"/>
        <v>0</v>
      </c>
      <c r="AW47" s="8">
        <f t="shared" si="21"/>
        <v>0</v>
      </c>
      <c r="AY47" s="1">
        <f t="shared" si="22"/>
        <v>0</v>
      </c>
      <c r="AZ47" s="8">
        <f t="shared" si="23"/>
        <v>0</v>
      </c>
      <c r="BB47" s="1">
        <f t="shared" si="24"/>
        <v>0</v>
      </c>
      <c r="BC47" s="8">
        <f t="shared" si="25"/>
        <v>0</v>
      </c>
      <c r="BE47" s="1">
        <f t="shared" si="26"/>
        <v>0</v>
      </c>
      <c r="BF47" s="8">
        <f t="shared" si="27"/>
        <v>0</v>
      </c>
      <c r="BH47" s="1">
        <f t="shared" si="28"/>
        <v>0</v>
      </c>
      <c r="BI47" s="8">
        <f t="shared" si="29"/>
        <v>0</v>
      </c>
      <c r="BK47" s="1">
        <f t="shared" si="30"/>
        <v>0</v>
      </c>
      <c r="BL47" s="8">
        <f t="shared" si="31"/>
        <v>0</v>
      </c>
      <c r="BN47" s="1">
        <f t="shared" si="32"/>
        <v>0</v>
      </c>
      <c r="BO47" s="8">
        <f t="shared" si="33"/>
        <v>0</v>
      </c>
      <c r="BQ47" s="1">
        <f t="shared" si="34"/>
        <v>0</v>
      </c>
      <c r="BR47" s="8">
        <f t="shared" si="35"/>
        <v>0</v>
      </c>
      <c r="BT47" s="1">
        <f t="shared" si="36"/>
        <v>0</v>
      </c>
      <c r="BU47" s="8">
        <f t="shared" si="37"/>
        <v>0</v>
      </c>
    </row>
    <row r="48" spans="5:73" ht="17" thickBot="1" x14ac:dyDescent="0.25">
      <c r="J48" s="48">
        <v>1</v>
      </c>
      <c r="K48" s="49">
        <v>-1.6000000000000001E-3</v>
      </c>
      <c r="L48" s="2">
        <f>J48-(MIN($J$14:$J$48)+MAX($J$14:$J$48))/2</f>
        <v>0.5</v>
      </c>
      <c r="M48" s="9">
        <f>K48-(INDEX($K$14:$K$48,MATCH(MIN($J$14:$J$48),$J$14:$J$48,0))+INDEX($K$14:$K$48,MATCH(MAX($J$14:$J$48),$J$14:$J$48,0)))/2</f>
        <v>-2.4000000000000002E-3</v>
      </c>
      <c r="R48" s="2">
        <f>(L48*COS(RADIANS($C$15))-M48*SIN(RADIANS($C$15)))*$B$15*1000</f>
        <v>92.903347771464126</v>
      </c>
      <c r="S48" s="9">
        <f>(L48*SIN(RADIANS($C$15))+M48*COS(RADIANS($C$15)))*$B$15*1000</f>
        <v>53.125759968338784</v>
      </c>
      <c r="U48" s="2">
        <f>(L48*COS(RADIANS($C$16))-M48*SIN(RADIANS($C$16)))*$B$16*1000</f>
        <v>89.636463710085323</v>
      </c>
      <c r="V48" s="9">
        <f>(L48*SIN(RADIANS($C$16))+M48*COS(RADIANS($C$16)))*$B$16*1000</f>
        <v>32.8227605342651</v>
      </c>
      <c r="X48" s="2">
        <f>(L48*COS(RADIANS($C$17))-M48*SIN(RADIANS($C$17)))*$B$17*1000</f>
        <v>77.047988391291071</v>
      </c>
      <c r="Y48" s="9">
        <f>(L48*SIN(RADIANS($C$17))+M48*COS(RADIANS($C$17)))*$B$17*1000</f>
        <v>19.516856334448217</v>
      </c>
      <c r="AA48" s="2">
        <f>(L48*COS(RADIANS($C$18))-M48*SIN(RADIANS($C$18)))*$B$18*1000</f>
        <v>65.389998913823263</v>
      </c>
      <c r="AB48" s="9">
        <f>(L48*SIN(RADIANS($C$18))+M48*COS(RADIANS($C$18)))*$B$18*1000</f>
        <v>12.009767428531383</v>
      </c>
      <c r="AD48" s="2">
        <f>(L48*COS(RADIANS($C$19))-M48*SIN(RADIANS($C$19)))*$B$19*1000</f>
        <v>56.071259639653384</v>
      </c>
      <c r="AE48" s="9">
        <f>(L48*SIN(RADIANS($C$19))+M48*COS(RADIANS($C$19)))*$B$19*1000</f>
        <v>7.6747436886526827</v>
      </c>
      <c r="AG48" s="2">
        <f>(L48*COS(RADIANS($C$20))-M48*SIN(RADIANS($C$20)))*$B$20*1000</f>
        <v>48.779989551871289</v>
      </c>
      <c r="AH48" s="9">
        <f>(L48*SIN(RADIANS($C$20))+M48*COS(RADIANS($C$20)))*$B$20*1000</f>
        <v>5.0455675680933725</v>
      </c>
      <c r="AJ48" s="2">
        <f>(L48*COS(RADIANS($C$21))-M48*SIN(RADIANS($C$21)))*$B$21*1000</f>
        <v>43.027160529209226</v>
      </c>
      <c r="AK48" s="9">
        <f>(L48*SIN(RADIANS($C$21))+M48*COS(RADIANS($C$21)))*$B$21*1000</f>
        <v>3.3736456344199115</v>
      </c>
      <c r="AM48" s="2">
        <f>(L48*COS(RADIANS($C$22))-M48*SIN(RADIANS($C$22)))*$B$22*1000</f>
        <v>38.415720137664046</v>
      </c>
      <c r="AN48" s="9">
        <f>(L48*SIN(RADIANS($C$22))+M48*COS(RADIANS($C$22)))*$B$22*1000</f>
        <v>2.2665053908955404</v>
      </c>
      <c r="AP48" s="2">
        <f>(L48*COS(RADIANS($C$23))-M48*SIN(RADIANS($C$23)))*$B$23*1000</f>
        <v>34.656596086365539</v>
      </c>
      <c r="AQ48" s="9">
        <f>(L48*SIN(RADIANS($C$23))+M48*COS(RADIANS($C$23)))*$B$23*1000</f>
        <v>1.5083568053290342</v>
      </c>
      <c r="AS48" s="2">
        <f>(L48*COS(RADIANS($C$24))-M48*SIN(RADIANS($C$24)))*$B$24*1000</f>
        <v>34.656596086365539</v>
      </c>
      <c r="AT48" s="9">
        <f>(L48*SIN(RADIANS($C$24))+M48*COS(RADIANS($C$24)))*$B$24*1000</f>
        <v>1.5083568053290342</v>
      </c>
      <c r="AV48" s="2">
        <f>(L48*COS(RADIANS($C$25))-M48*SIN(RADIANS($C$25)))*$B$25*1000</f>
        <v>0</v>
      </c>
      <c r="AW48" s="9">
        <f>(L48*SIN(RADIANS($C$25))+M48*COS(RADIANS($C$25)))*$B$25*1000</f>
        <v>0</v>
      </c>
      <c r="AY48" s="2">
        <f>(L48*COS(RADIANS($C$26))-M48*SIN(RADIANS($C$26)))*$B$26*1000</f>
        <v>0</v>
      </c>
      <c r="AZ48" s="9">
        <f>(L48*SIN(RADIANS($C$26))+M48*COS(RADIANS($C$26)))*$B$26*1000</f>
        <v>0</v>
      </c>
      <c r="BB48" s="2">
        <f>(L48*COS(RADIANS($C$27))-M48*SIN(RADIANS($C$27)))*$B$27*1000</f>
        <v>0</v>
      </c>
      <c r="BC48" s="9">
        <f>(L48*SIN(RADIANS($C$27))+M48*COS(RADIANS($C$27)))*$B$27*1000</f>
        <v>0</v>
      </c>
      <c r="BE48" s="2">
        <f>(L48*COS(RADIANS($C$28))-M48*SIN(RADIANS($C$28)))*$B$28*1000</f>
        <v>0</v>
      </c>
      <c r="BF48" s="9">
        <f>(L48*SIN(RADIANS($C$28))+M48*COS(RADIANS($C$28)))*$B$28*1000</f>
        <v>0</v>
      </c>
      <c r="BH48" s="2">
        <f>(L48*COS(RADIANS($C$29))-M48*SIN(RADIANS($C$29)))*$B$29*1000</f>
        <v>0</v>
      </c>
      <c r="BI48" s="9">
        <f>(L48*SIN(RADIANS($C$29))+M48*COS(RADIANS($C$29)))*$B$29*1000</f>
        <v>0</v>
      </c>
      <c r="BK48" s="2">
        <f>(L48*COS(RADIANS($C$30))-M48*SIN(RADIANS($C$30)))*$B$30*1000</f>
        <v>0</v>
      </c>
      <c r="BL48" s="9">
        <f>(L48*SIN(RADIANS($C$30))+M48*COS(RADIANS($C$30)))*$B$30*1000</f>
        <v>0</v>
      </c>
      <c r="BN48" s="2">
        <f>(L48*COS(RADIANS($C$31))-M48*SIN(RADIANS($C$31)))*$B$31*1000</f>
        <v>0</v>
      </c>
      <c r="BO48" s="9">
        <f>(L48*SIN(RADIANS($C$31))+M48*COS(RADIANS($C$31)))*$B$31*1000</f>
        <v>0</v>
      </c>
      <c r="BQ48" s="2">
        <f>(L48*COS(RADIANS($C$32))-M48*SIN(RADIANS($C$32)))*$B$32*1000</f>
        <v>0</v>
      </c>
      <c r="BR48" s="9">
        <f>(L48*SIN(RADIANS($C$32))+M48*COS(RADIANS($C$32)))*$B$32*1000</f>
        <v>0</v>
      </c>
      <c r="BT48" s="2">
        <f>(L48*COS(RADIANS($C$33))-M48*SIN(RADIANS($C$33)))*$B$33*1000</f>
        <v>0</v>
      </c>
      <c r="BU48" s="9">
        <f>(L48*SIN(RADIANS($C$33))+M48*COS(RADIANS($C$33)))*$B$33*1000</f>
        <v>0</v>
      </c>
    </row>
    <row r="102" spans="5:9" x14ac:dyDescent="0.2">
      <c r="E102" s="26"/>
      <c r="F102" s="26"/>
      <c r="G102" s="26"/>
      <c r="H102" s="26"/>
      <c r="I102" s="26"/>
    </row>
  </sheetData>
  <mergeCells count="20">
    <mergeCell ref="BH12:BI12"/>
    <mergeCell ref="BK12:BL12"/>
    <mergeCell ref="BN12:BO12"/>
    <mergeCell ref="BQ12:BR12"/>
    <mergeCell ref="BT12:BU12"/>
    <mergeCell ref="AV12:AW12"/>
    <mergeCell ref="AY12:AZ12"/>
    <mergeCell ref="BB12:BC12"/>
    <mergeCell ref="BE12:BF12"/>
    <mergeCell ref="O12:P12"/>
    <mergeCell ref="R12:S12"/>
    <mergeCell ref="AS12:AT12"/>
    <mergeCell ref="U12:V12"/>
    <mergeCell ref="X12:Y12"/>
    <mergeCell ref="AA12:AB12"/>
    <mergeCell ref="AJ12:AK12"/>
    <mergeCell ref="AM12:AN12"/>
    <mergeCell ref="AP12:AQ12"/>
    <mergeCell ref="AD12:AE12"/>
    <mergeCell ref="AG12:AH1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0789-4F08-4D65-B3A7-6C08D2FB6BF3}">
  <dimension ref="A1:T38"/>
  <sheetViews>
    <sheetView zoomScale="85" zoomScaleNormal="85" workbookViewId="0">
      <selection activeCell="C42" sqref="C42"/>
    </sheetView>
  </sheetViews>
  <sheetFormatPr baseColWidth="10" defaultColWidth="8.6640625" defaultRowHeight="16" x14ac:dyDescent="0.2"/>
  <cols>
    <col min="1" max="1" width="41.6640625" customWidth="1"/>
    <col min="2" max="2" width="66.1640625" customWidth="1"/>
    <col min="3" max="3" width="46.6640625" customWidth="1"/>
    <col min="4" max="4" width="103.1640625" customWidth="1"/>
    <col min="5" max="5" width="67.1640625" customWidth="1"/>
    <col min="6" max="6" width="77.5" customWidth="1"/>
    <col min="7" max="7" width="54.33203125" customWidth="1"/>
    <col min="8" max="8" width="53.6640625" customWidth="1"/>
    <col min="9" max="9" width="26.33203125" customWidth="1"/>
    <col min="11" max="11" width="57" customWidth="1"/>
  </cols>
  <sheetData>
    <row r="1" spans="1:20" x14ac:dyDescent="0.2">
      <c r="A1" s="22" t="s">
        <v>73</v>
      </c>
    </row>
    <row r="2" spans="1:20" ht="17" thickBot="1" x14ac:dyDescent="0.25"/>
    <row r="3" spans="1:20" ht="17" thickBot="1" x14ac:dyDescent="0.25">
      <c r="A3" s="7" t="s">
        <v>74</v>
      </c>
      <c r="B3" s="7" t="s">
        <v>12</v>
      </c>
      <c r="C3" s="7" t="s">
        <v>13</v>
      </c>
      <c r="D3" s="7" t="s">
        <v>14</v>
      </c>
      <c r="E3" s="14" t="s">
        <v>15</v>
      </c>
      <c r="F3" s="14" t="s">
        <v>16</v>
      </c>
      <c r="G3" s="7" t="s">
        <v>17</v>
      </c>
      <c r="H3" s="7" t="s">
        <v>18</v>
      </c>
      <c r="I3" s="17" t="s">
        <v>19</v>
      </c>
      <c r="J3" s="7" t="s">
        <v>20</v>
      </c>
      <c r="K3" s="7" t="s">
        <v>21</v>
      </c>
      <c r="L3" s="54" t="s">
        <v>22</v>
      </c>
      <c r="M3" s="54" t="s">
        <v>23</v>
      </c>
      <c r="N3" s="54" t="s">
        <v>24</v>
      </c>
      <c r="O3" s="54" t="s">
        <v>25</v>
      </c>
      <c r="P3" s="54" t="s">
        <v>26</v>
      </c>
      <c r="Q3" s="54" t="s">
        <v>27</v>
      </c>
      <c r="R3" s="54" t="s">
        <v>28</v>
      </c>
      <c r="S3" s="54" t="s">
        <v>75</v>
      </c>
      <c r="T3" s="54" t="s">
        <v>76</v>
      </c>
    </row>
    <row r="4" spans="1:20" x14ac:dyDescent="0.2">
      <c r="A4" s="4" t="str">
        <f>CONCATENATE('1-Blade sections'!O14,",",'1-Blade sections'!P14,",",'1-Blade sections'!$A$14*1000)</f>
        <v>23,97072,-0,83712,30</v>
      </c>
      <c r="B4" s="4" t="str">
        <f>CONCATENATE('1-Blade sections'!R14,",",'1-Blade sections'!S14,",",'1-Blade sections'!$A$15*1000)</f>
        <v>92,5604968161092,53,7186957094905,67,5</v>
      </c>
      <c r="C4" s="4" t="str">
        <f>CONCATENATE('1-Blade sections'!U14,",",'1-Blade sections'!V14,",",'1-Blade sections'!$A$16*1000)</f>
        <v>89,4236493137445,33,3954123929072,112,5</v>
      </c>
      <c r="D4" s="4" t="str">
        <f>CONCATENATE('1-Blade sections'!X14,",",'1-Blade sections'!Y14,",",'1-Blade sections'!$A$17*1000)</f>
        <v>76,9207165288909,20,009352555213,157,5</v>
      </c>
      <c r="E4" s="11" t="str">
        <f>CONCATENATE('1-Blade sections'!AA14,",",'1-Blade sections'!AB14,",",'1-Blade sections'!$A$18*1000)</f>
        <v>65,3111294386667,12,4278848480991,202,5</v>
      </c>
      <c r="F4" s="11" t="str">
        <f>CONCATENATE('1-Blade sections'!AD14,",",'1-Blade sections'!AE14,",",'1-Blade sections'!$A$19*1000)</f>
        <v>56,0204199422965,8,03335571979915,247,5</v>
      </c>
      <c r="G4" s="4" t="str">
        <f>CONCATENATE('1-Blade sections'!AG14,",",'1-Blade sections'!AH14,",",'1-Blade sections'!$A$20*1000)</f>
        <v>48,7462001766637,5,35759731222435,292,5</v>
      </c>
      <c r="H4" s="4" t="str">
        <f>CONCATENATE('1-Blade sections'!AJ14,",",'1-Blade sections'!AK14,",",'1-Blade sections'!$A$21*1000)</f>
        <v>43,0042479306838,3,64890948133393,337,5</v>
      </c>
      <c r="I4" s="18" t="str">
        <f>CONCATENATE('1-Blade sections'!AM14,",",'1-Blade sections'!AN14,",",'1-Blade sections'!$A$22*1000)</f>
        <v>38,4000347336314,2,51229070983723,382,5</v>
      </c>
      <c r="J4" s="4" t="str">
        <f>CONCATENATE('1-Blade sections'!AP14,",",'1-Blade sections'!AQ14,",",'1-Blade sections'!$A$23*1000)</f>
        <v>34,6458781991198,1,73010757442299,427,5</v>
      </c>
      <c r="K4" s="19" t="str">
        <f>CONCATENATE('1-Blade sections'!AS14,",",'1-Blade sections'!AT14,",",'1-Blade sections'!$A$24*1000)</f>
        <v>34,6458781991198,1,73010757442299,450</v>
      </c>
      <c r="L4" s="55" t="str">
        <f>CONCATENATE('1-Blade sections'!AV14,",",'1-Blade sections'!AW14,",",'1-Blade sections'!$A$25*1000)</f>
        <v>0,0,0</v>
      </c>
      <c r="M4" s="55" t="str">
        <f>CONCATENATE('1-Blade sections'!AY14,",",'1-Blade sections'!AZ14,",",'1-Blade sections'!$A$26*1000)</f>
        <v>0,0,0</v>
      </c>
      <c r="N4" s="55" t="str">
        <f>CONCATENATE('1-Blade sections'!BB14,",",'1-Blade sections'!BC14,",",'1-Blade sections'!$A$27*1000)</f>
        <v>0,0,0</v>
      </c>
      <c r="O4" s="55" t="str">
        <f>CONCATENATE('1-Blade sections'!BE14,",",'1-Blade sections'!BF14,",",'1-Blade sections'!$A$28*1000)</f>
        <v>0,0,0</v>
      </c>
      <c r="P4" s="55" t="str">
        <f>CONCATENATE('1-Blade sections'!BH14,",",'1-Blade sections'!BI14,",",'1-Blade sections'!$A$29*1000)</f>
        <v>0,0,0</v>
      </c>
      <c r="Q4" s="55" t="str">
        <f>CONCATENATE('1-Blade sections'!BK14,",",'1-Blade sections'!BL14,",",'1-Blade sections'!$A$30*1000)</f>
        <v>0,0,0</v>
      </c>
      <c r="R4" s="55" t="str">
        <f>CONCATENATE('1-Blade sections'!BN14,",",'1-Blade sections'!BO14,",",'1-Blade sections'!$A$31*1000)</f>
        <v>0,0,0</v>
      </c>
      <c r="S4" s="55" t="str">
        <f>CONCATENATE('1-Blade sections'!BQ14,",",'1-Blade sections'!BR14,",",'1-Blade sections'!$A$32*1000)</f>
        <v>0,0,0</v>
      </c>
      <c r="T4" s="56" t="str">
        <f>CONCATENATE('1-Blade sections'!BT14,",",'1-Blade sections'!BU14,",",'1-Blade sections'!$A$33*1000)</f>
        <v>0,0,0</v>
      </c>
    </row>
    <row r="5" spans="1:20" x14ac:dyDescent="0.2">
      <c r="A5" s="5" t="str">
        <f>CONCATENATE('1-Blade sections'!O15,",",'1-Blade sections'!P15,",",'1-Blade sections'!$A$14*1000)</f>
        <v>23,5296,3,74208,30</v>
      </c>
      <c r="B5" s="5" t="str">
        <f>CONCATENATE('1-Blade sections'!R15,",",'1-Blade sections'!S15,",",'1-Blade sections'!$A$15*1000)</f>
        <v>82,2673229945497,50,1404567555252,67,5</v>
      </c>
      <c r="C5" s="5" t="str">
        <f>CONCATENATE('1-Blade sections'!U15,",",'1-Blade sections'!V15,",",'1-Blade sections'!$A$16*1000)</f>
        <v>79,8375208334392,31,7881430260089,112,5</v>
      </c>
      <c r="D5" s="5" t="str">
        <f>CONCATENATE('1-Blade sections'!X15,",",'1-Blade sections'!Y15,",",'1-Blade sections'!$A$17*1000)</f>
        <v>68,8436474922414,19,498218367505,157,5</v>
      </c>
      <c r="E5" s="12" t="str">
        <f>CONCATENATE('1-Blade sections'!AA15,",",'1-Blade sections'!AB15,",",'1-Blade sections'!$A$18*1000)</f>
        <v>58,5414363324516,12,4499015574815,202,5</v>
      </c>
      <c r="F5" s="11" t="str">
        <f>CONCATENATE('1-Blade sections'!AD15,",",'1-Blade sections'!AE15,",",'1-Blade sections'!$A$19*1000)</f>
        <v>50,2645878635623,8,3148215420373,247,5</v>
      </c>
      <c r="G5" s="5" t="str">
        <f>CONCATENATE('1-Blade sections'!AG15,",",'1-Blade sections'!AH15,",",'1-Blade sections'!$A$20*1000)</f>
        <v>43,7693672989942,5,76572755699813,292,5</v>
      </c>
      <c r="H5" s="4" t="str">
        <f>CONCATENATE('1-Blade sections'!AJ15,",",'1-Blade sections'!AK15,",",'1-Blade sections'!$A$21*1000)</f>
        <v>38,6345125270758,4,11669167011544,337,5</v>
      </c>
      <c r="I5" s="19" t="str">
        <f>CONCATENATE('1-Blade sections'!AM15,",",'1-Blade sections'!AN15,",",'1-Blade sections'!$A$22*1000)</f>
        <v>34,5125829130695,3,00456222865213,382,5</v>
      </c>
      <c r="J5" s="5" t="str">
        <f>CONCATENATE('1-Blade sections'!AP15,",",'1-Blade sections'!AQ15,",",'1-Blade sections'!$A$23*1000)</f>
        <v>31,1488687702894,2,22789289348992,427,5</v>
      </c>
      <c r="K5" s="29" t="str">
        <f>CONCATENATE('1-Blade sections'!AS15,",",'1-Blade sections'!AT15,",",'1-Blade sections'!$A$24*1000)</f>
        <v>31,1488687702894,2,22789289348992,450</v>
      </c>
      <c r="L5" s="5" t="str">
        <f>CONCATENATE('1-Blade sections'!AV15,",",'1-Blade sections'!AW15,",",'1-Blade sections'!$A$25*1000)</f>
        <v>0,0,0</v>
      </c>
      <c r="M5" s="5" t="str">
        <f>CONCATENATE('1-Blade sections'!AY15,",",'1-Blade sections'!AZ15,",",'1-Blade sections'!$A$26*1000)</f>
        <v>0,0,0</v>
      </c>
      <c r="N5" s="5" t="str">
        <f>CONCATENATE('1-Blade sections'!BB15,",",'1-Blade sections'!BC15,",",'1-Blade sections'!$A$27*1000)</f>
        <v>0,0,0</v>
      </c>
      <c r="O5" s="5" t="str">
        <f>CONCATENATE('1-Blade sections'!BE15,",",'1-Blade sections'!BF15,",",'1-Blade sections'!$A$28*1000)</f>
        <v>0,0,0</v>
      </c>
      <c r="P5" s="5" t="str">
        <f>CONCATENATE('1-Blade sections'!BH15,",",'1-Blade sections'!BI15,",",'1-Blade sections'!$A$29*1000)</f>
        <v>0,0,0</v>
      </c>
      <c r="Q5" s="5" t="str">
        <f>CONCATENATE('1-Blade sections'!BK15,",",'1-Blade sections'!BL15,",",'1-Blade sections'!$A$30*1000)</f>
        <v>0,0,0</v>
      </c>
      <c r="R5" s="5" t="str">
        <f>CONCATENATE('1-Blade sections'!BN15,",",'1-Blade sections'!BO15,",",'1-Blade sections'!$A$31*1000)</f>
        <v>0,0,0</v>
      </c>
      <c r="S5" s="5" t="str">
        <f>CONCATENATE('1-Blade sections'!BQ15,",",'1-Blade sections'!BR15,",",'1-Blade sections'!$A$32*1000)</f>
        <v>0,0,0</v>
      </c>
      <c r="T5" s="12" t="str">
        <f>CONCATENATE('1-Blade sections'!BT15,",",'1-Blade sections'!BU15,",",'1-Blade sections'!$A$33*1000)</f>
        <v>0,0,0</v>
      </c>
    </row>
    <row r="6" spans="1:20" x14ac:dyDescent="0.2">
      <c r="A6" s="5" t="str">
        <f>CONCATENATE('1-Blade sections'!O16,",",'1-Blade sections'!P16,",",'1-Blade sections'!$A$14*1000)</f>
        <v>22,22304,8,15328,30</v>
      </c>
      <c r="B6" s="5" t="str">
        <f>CONCATENATE('1-Blade sections'!R16,",",'1-Blade sections'!S16,",",'1-Blade sections'!$A$15*1000)</f>
        <v>72,0170055424096,46,488100833916,67,5</v>
      </c>
      <c r="C6" s="5" t="str">
        <f>CONCATENATE('1-Blade sections'!U16,",",'1-Blade sections'!V16,",",'1-Blade sections'!$A$16*1000)</f>
        <v>70,2779941526765,30,1092921767803,112,5</v>
      </c>
      <c r="D6" s="4" t="str">
        <f>CONCATENATE('1-Blade sections'!X16,",",'1-Blade sections'!Y16,",",'1-Blade sections'!$A$17*1000)</f>
        <v>60,7824874383919,18,9255221522015,157,5</v>
      </c>
      <c r="E6" s="11" t="str">
        <f>CONCATENATE('1-Blade sections'!AA16,",",'1-Blade sections'!AB16,",",'1-Blade sections'!$A$18*1000)</f>
        <v>51,781601910631,12,419653589418,202,5</v>
      </c>
      <c r="F6" s="11" t="str">
        <f>CONCATENATE('1-Blade sections'!AD16,",",'1-Blade sections'!AE16,",",'1-Blade sections'!$A$19*1000)</f>
        <v>44,5151107469977,8,55146086038215,247,5</v>
      </c>
      <c r="G6" s="5" t="str">
        <f>CONCATENATE('1-Blade sections'!AG16,",",'1-Blade sections'!AH16,",",'1-Blade sections'!$A$20*1000)</f>
        <v>38,7967580932258,6,13485408375554,292,5</v>
      </c>
      <c r="H6" s="4" t="str">
        <f>CONCATENATE('1-Blade sections'!AJ16,",",'1-Blade sections'!AK16,",",'1-Blade sections'!$A$21*1000)</f>
        <v>34,2676411982836,4,55006587803269,337,5</v>
      </c>
      <c r="I6" s="19" t="str">
        <f>CONCATENATE('1-Blade sections'!AM16,",",'1-Blade sections'!AN16,",",'1-Blade sections'!$A$22*1000)</f>
        <v>30,6270917680117,3,46611058259932,382,5</v>
      </c>
      <c r="J6" s="5" t="str">
        <f>CONCATENATE('1-Blade sections'!AP16,",",'1-Blade sections'!AQ16,",",'1-Blade sections'!$A$23*1000)</f>
        <v>27,6531990773647,2,69795936642011,427,5</v>
      </c>
      <c r="K6" s="29" t="str">
        <f>CONCATENATE('1-Blade sections'!AS16,",",'1-Blade sections'!AT16,",",'1-Blade sections'!$A$24*1000)</f>
        <v>27,6531990773647,2,69795936642011,450</v>
      </c>
      <c r="L6" s="5" t="str">
        <f>CONCATENATE('1-Blade sections'!AV16,",",'1-Blade sections'!AW16,",",'1-Blade sections'!$A$25*1000)</f>
        <v>0,0,0</v>
      </c>
      <c r="M6" s="5" t="str">
        <f>CONCATENATE('1-Blade sections'!AY16,",",'1-Blade sections'!AZ16,",",'1-Blade sections'!$A$26*1000)</f>
        <v>0,0,0</v>
      </c>
      <c r="N6" s="5" t="str">
        <f>CONCATENATE('1-Blade sections'!BB16,",",'1-Blade sections'!BC16,",",'1-Blade sections'!$A$27*1000)</f>
        <v>0,0,0</v>
      </c>
      <c r="O6" s="5" t="str">
        <f>CONCATENATE('1-Blade sections'!BE16,",",'1-Blade sections'!BF16,",",'1-Blade sections'!$A$28*1000)</f>
        <v>0,0,0</v>
      </c>
      <c r="P6" s="5" t="str">
        <f>CONCATENATE('1-Blade sections'!BH16,",",'1-Blade sections'!BI16,",",'1-Blade sections'!$A$29*1000)</f>
        <v>0,0,0</v>
      </c>
      <c r="Q6" s="5" t="str">
        <f>CONCATENATE('1-Blade sections'!BK16,",",'1-Blade sections'!BL16,",",'1-Blade sections'!$A$30*1000)</f>
        <v>0,0,0</v>
      </c>
      <c r="R6" s="5" t="str">
        <f>CONCATENATE('1-Blade sections'!BN16,",",'1-Blade sections'!BO16,",",'1-Blade sections'!$A$31*1000)</f>
        <v>0,0,0</v>
      </c>
      <c r="S6" s="5" t="str">
        <f>CONCATENATE('1-Blade sections'!BQ16,",",'1-Blade sections'!BR16,",",'1-Blade sections'!$A$32*1000)</f>
        <v>0,0,0</v>
      </c>
      <c r="T6" s="12" t="str">
        <f>CONCATENATE('1-Blade sections'!BT16,",",'1-Blade sections'!BU16,",",'1-Blade sections'!$A$33*1000)</f>
        <v>0,0,0</v>
      </c>
    </row>
    <row r="7" spans="1:20" x14ac:dyDescent="0.2">
      <c r="A7" s="5" t="str">
        <f>CONCATENATE('1-Blade sections'!O17,",",'1-Blade sections'!P17,",",'1-Blade sections'!$A$14*1000)</f>
        <v>20,09904,12,23424,30</v>
      </c>
      <c r="B7" s="5" t="str">
        <f>CONCATENATE('1-Blade sections'!R17,",",'1-Blade sections'!S17,",",'1-Blade sections'!$A$15*1000)</f>
        <v>51,677082023452,38,9054503620327,67,5</v>
      </c>
      <c r="C7" s="5" t="str">
        <f>CONCATENATE('1-Blade sections'!U17,",",'1-Blade sections'!V17,",",'1-Blade sections'!$A$16*1000)</f>
        <v>51,2586975394359,26,4831599195846,112,5</v>
      </c>
      <c r="D7" s="5" t="str">
        <f>CONCATENATE('1-Blade sections'!X17,",",'1-Blade sections'!Y17,",",'1-Blade sections'!$A$17*1000)</f>
        <v>44,719826016193,17,5492721181109,157,5</v>
      </c>
      <c r="E7" s="12" t="str">
        <f>CONCATENATE('1-Blade sections'!AA17,",",'1-Blade sections'!AB17,",",'1-Blade sections'!$A$18*1000)</f>
        <v>38,2989031334694,12,1631651128686,202,5</v>
      </c>
      <c r="F7" s="11" t="str">
        <f>CONCATENATE('1-Blade sections'!AD17,",",'1-Blade sections'!AE17,",",'1-Blade sections'!$A$19*1000)</f>
        <v>33,0399876220045,8,85664010747193,247,5</v>
      </c>
      <c r="G7" s="5" t="str">
        <f>CONCATENATE('1-Blade sections'!AG17,",",'1-Blade sections'!AH17,",",'1-Blade sections'!$A$20*1000)</f>
        <v>28,8673784513174,6,72684319470895,292,5</v>
      </c>
      <c r="H7" s="4" t="str">
        <f>CONCATENATE('1-Blade sections'!AJ17,",",'1-Blade sections'!AK17,",",'1-Blade sections'!$A$21*1000)</f>
        <v>25,5446388212579,5,28778436562626,337,5</v>
      </c>
      <c r="I7" s="19" t="str">
        <f>CONCATENATE('1-Blade sections'!AM17,",",'1-Blade sections'!AN17,",",'1-Blade sections'!$A$22*1000)</f>
        <v>22,8634620110363,4,27399542223977,382,5</v>
      </c>
      <c r="J7" s="5" t="str">
        <f>CONCATENATE('1-Blade sections'!AP17,",",'1-Blade sections'!AQ17,",",'1-Blade sections'!$A$23*1000)</f>
        <v>20,6668837011618,3,53414663926768,427,5</v>
      </c>
      <c r="K7" s="29" t="str">
        <f>CONCATENATE('1-Blade sections'!AS17,",",'1-Blade sections'!AT17,",",'1-Blade sections'!$A$24*1000)</f>
        <v>20,6668837011618,3,53414663926768,450</v>
      </c>
      <c r="L7" s="5" t="str">
        <f>CONCATENATE('1-Blade sections'!AV17,",",'1-Blade sections'!AW17,",",'1-Blade sections'!$A$25*1000)</f>
        <v>0,0,0</v>
      </c>
      <c r="M7" s="5" t="str">
        <f>CONCATENATE('1-Blade sections'!AY17,",",'1-Blade sections'!AZ17,",",'1-Blade sections'!$A$26*1000)</f>
        <v>0,0,0</v>
      </c>
      <c r="N7" s="5" t="str">
        <f>CONCATENATE('1-Blade sections'!BB17,",",'1-Blade sections'!BC17,",",'1-Blade sections'!$A$27*1000)</f>
        <v>0,0,0</v>
      </c>
      <c r="O7" s="5" t="str">
        <f>CONCATENATE('1-Blade sections'!BE17,",",'1-Blade sections'!BF17,",",'1-Blade sections'!$A$28*1000)</f>
        <v>0,0,0</v>
      </c>
      <c r="P7" s="5" t="str">
        <f>CONCATENATE('1-Blade sections'!BH17,",",'1-Blade sections'!BI17,",",'1-Blade sections'!$A$29*1000)</f>
        <v>0,0,0</v>
      </c>
      <c r="Q7" s="5" t="str">
        <f>CONCATENATE('1-Blade sections'!BK17,",",'1-Blade sections'!BL17,",",'1-Blade sections'!$A$30*1000)</f>
        <v>0,0,0</v>
      </c>
      <c r="R7" s="5" t="str">
        <f>CONCATENATE('1-Blade sections'!BN17,",",'1-Blade sections'!BO17,",",'1-Blade sections'!$A$31*1000)</f>
        <v>0,0,0</v>
      </c>
      <c r="S7" s="5" t="str">
        <f>CONCATENATE('1-Blade sections'!BQ17,",",'1-Blade sections'!BR17,",",'1-Blade sections'!$A$32*1000)</f>
        <v>0,0,0</v>
      </c>
      <c r="T7" s="12" t="str">
        <f>CONCATENATE('1-Blade sections'!BT17,",",'1-Blade sections'!BU17,",",'1-Blade sections'!$A$33*1000)</f>
        <v>0,0,0</v>
      </c>
    </row>
    <row r="8" spans="1:20" x14ac:dyDescent="0.2">
      <c r="A8" s="5" t="str">
        <f>CONCATENATE('1-Blade sections'!O18,",",'1-Blade sections'!P18,",",'1-Blade sections'!$A$14*1000)</f>
        <v>17,23488,15,83472,30</v>
      </c>
      <c r="B8" s="5" t="str">
        <f>CONCATENATE('1-Blade sections'!R18,",",'1-Blade sections'!S18,",",'1-Blade sections'!$A$15*1000)</f>
        <v>31,5192980745266,31,0078027776626,67,5</v>
      </c>
      <c r="C8" s="5" t="str">
        <f>CONCATENATE('1-Blade sections'!U18,",",'1-Blade sections'!V18,",",'1-Blade sections'!$A$16*1000)</f>
        <v>32,3524585742512,22,5528063624853,112,5</v>
      </c>
      <c r="D8" s="4" t="str">
        <f>CONCATENATE('1-Blade sections'!X18,",",'1-Blade sections'!Y18,",",'1-Blade sections'!$A$17*1000)</f>
        <v>28,7247777708941,15,9113834667391,157,5</v>
      </c>
      <c r="E8" s="11" t="str">
        <f>CONCATENATE('1-Blade sections'!AA18,",",'1-Blade sections'!AB18,",",'1-Blade sections'!$A$18*1000)</f>
        <v>24,8581037649847,11,6845517571738,202,5</v>
      </c>
      <c r="F8" s="11" t="str">
        <f>CONCATENATE('1-Blade sections'!AD18,",",'1-Blade sections'!AE18,",",'1-Blade sections'!$A$19*1000)</f>
        <v>21,5918730862322,8,97130671301515,247,5</v>
      </c>
      <c r="G8" s="5" t="str">
        <f>CONCATENATE('1-Blade sections'!AG18,",",'1-Blade sections'!AH18,",",'1-Blade sections'!$A$20*1000)</f>
        <v>18,955949414988,7,15306650409278,292,5</v>
      </c>
      <c r="H8" s="4" t="str">
        <f>CONCATENATE('1-Blade sections'!AJ18,",",'1-Blade sections'!AK18,",",'1-Blade sections'!$A$21*1000)</f>
        <v>16,8338087621988,5,87926893454675,337,5</v>
      </c>
      <c r="I8" s="19" t="str">
        <f>CONCATENATE('1-Blade sections'!AM18,",",'1-Blade sections'!AN18,",",'1-Blade sections'!$A$22*1000)</f>
        <v>15,1081651249533,4,95130681119245,382,5</v>
      </c>
      <c r="J8" s="5" t="str">
        <f>CONCATENATE('1-Blade sections'!AP18,",",'1-Blade sections'!AQ18,",",'1-Blade sections'!$A$23*1000)</f>
        <v>13,6862622025582,4,25252881603409,427,5</v>
      </c>
      <c r="K8" s="29" t="str">
        <f>CONCATENATE('1-Blade sections'!AS18,",",'1-Blade sections'!AT18,",",'1-Blade sections'!$A$24*1000)</f>
        <v>13,6862622025582,4,25252881603409,450</v>
      </c>
      <c r="L8" s="5" t="str">
        <f>CONCATENATE('1-Blade sections'!AV18,",",'1-Blade sections'!AW18,",",'1-Blade sections'!$A$25*1000)</f>
        <v>0,0,0</v>
      </c>
      <c r="M8" s="5" t="str">
        <f>CONCATENATE('1-Blade sections'!AY18,",",'1-Blade sections'!AZ18,",",'1-Blade sections'!$A$26*1000)</f>
        <v>0,0,0</v>
      </c>
      <c r="N8" s="5" t="str">
        <f>CONCATENATE('1-Blade sections'!BB18,",",'1-Blade sections'!BC18,",",'1-Blade sections'!$A$27*1000)</f>
        <v>0,0,0</v>
      </c>
      <c r="O8" s="5" t="str">
        <f>CONCATENATE('1-Blade sections'!BE18,",",'1-Blade sections'!BF18,",",'1-Blade sections'!$A$28*1000)</f>
        <v>0,0,0</v>
      </c>
      <c r="P8" s="5" t="str">
        <f>CONCATENATE('1-Blade sections'!BH18,",",'1-Blade sections'!BI18,",",'1-Blade sections'!$A$29*1000)</f>
        <v>0,0,0</v>
      </c>
      <c r="Q8" s="5" t="str">
        <f>CONCATENATE('1-Blade sections'!BK18,",",'1-Blade sections'!BL18,",",'1-Blade sections'!$A$30*1000)</f>
        <v>0,0,0</v>
      </c>
      <c r="R8" s="5" t="str">
        <f>CONCATENATE('1-Blade sections'!BN18,",",'1-Blade sections'!BO18,",",'1-Blade sections'!$A$31*1000)</f>
        <v>0,0,0</v>
      </c>
      <c r="S8" s="5" t="str">
        <f>CONCATENATE('1-Blade sections'!BQ18,",",'1-Blade sections'!BR18,",",'1-Blade sections'!$A$32*1000)</f>
        <v>0,0,0</v>
      </c>
      <c r="T8" s="12" t="str">
        <f>CONCATENATE('1-Blade sections'!BT18,",",'1-Blade sections'!BU18,",",'1-Blade sections'!$A$33*1000)</f>
        <v>0,0,0</v>
      </c>
    </row>
    <row r="9" spans="1:20" x14ac:dyDescent="0.2">
      <c r="A9" s="5" t="str">
        <f>CONCATENATE('1-Blade sections'!O19,",",'1-Blade sections'!P19,",",'1-Blade sections'!$A$14*1000)</f>
        <v>13,73664,18,82272,30</v>
      </c>
      <c r="B9" s="5" t="str">
        <f>CONCATENATE('1-Blade sections'!R19,",",'1-Blade sections'!S19,",",'1-Blade sections'!$A$15*1000)</f>
        <v>11,5329396032787,22,8136873227167,67,5</v>
      </c>
      <c r="C9" s="5" t="str">
        <f>CONCATENATE('1-Blade sections'!U19,",",'1-Blade sections'!V19,",",'1-Blade sections'!$A$16*1000)</f>
        <v>13,5526268072369,18,3361268760649,112,5</v>
      </c>
      <c r="D9" s="5" t="str">
        <f>CONCATENATE('1-Blade sections'!X19,",",'1-Blade sections'!Y19,",",'1-Blade sections'!$A$17*1000)</f>
        <v>12,7933654567953,14,0272467049849,157,5</v>
      </c>
      <c r="E9" s="12" t="str">
        <f>CONCATENATE('1-Blade sections'!AA19,",",'1-Blade sections'!AB19,",",'1-Blade sections'!$A$18*1000)</f>
        <v>11,4567391340783,10,9968796916952,202,5</v>
      </c>
      <c r="F9" s="11" t="str">
        <f>CONCATENATE('1-Blade sections'!AD19,",",'1-Blade sections'!AE19,",",'1-Blade sections'!$A$19*1000)</f>
        <v>10,1691783991383,8,90666730298513,247,5</v>
      </c>
      <c r="G9" s="5" t="str">
        <f>CONCATENATE('1-Blade sections'!AG19,",",'1-Blade sections'!AH19,",",'1-Blade sections'!$A$20*1000)</f>
        <v>9,06141506626249,7,42327494141113,292,5</v>
      </c>
      <c r="H9" s="4" t="str">
        <f>CONCATENATE('1-Blade sections'!AJ19,",",'1-Blade sections'!AK19,",",'1-Blade sections'!$A$21*1000)</f>
        <v>8,13443500240255,6,33312158001024,337,5</v>
      </c>
      <c r="I9" s="19" t="str">
        <f>CONCATENATE('1-Blade sections'!AM19,",",'1-Blade sections'!AN19,",",'1-Blade sections'!$A$22*1000)</f>
        <v>7,36071094088661,5,50572554067429,382,5</v>
      </c>
      <c r="J9" s="5" t="str">
        <f>CONCATENATE('1-Blade sections'!AP19,",",'1-Blade sections'!AQ19,",",'1-Blade sections'!$A$23*1000)</f>
        <v>6,71099964757752,4,86003560825352,427,5</v>
      </c>
      <c r="K9" s="29" t="str">
        <f>CONCATENATE('1-Blade sections'!AS19,",",'1-Blade sections'!AT19,",",'1-Blade sections'!$A$24*1000)</f>
        <v>6,71099964757752,4,86003560825352,450</v>
      </c>
      <c r="L9" s="5" t="str">
        <f>CONCATENATE('1-Blade sections'!AV19,",",'1-Blade sections'!AW19,",",'1-Blade sections'!$A$25*1000)</f>
        <v>0,0,0</v>
      </c>
      <c r="M9" s="5" t="str">
        <f>CONCATENATE('1-Blade sections'!AY19,",",'1-Blade sections'!AZ19,",",'1-Blade sections'!$A$26*1000)</f>
        <v>0,0,0</v>
      </c>
      <c r="N9" s="5" t="str">
        <f>CONCATENATE('1-Blade sections'!BB19,",",'1-Blade sections'!BC19,",",'1-Blade sections'!$A$27*1000)</f>
        <v>0,0,0</v>
      </c>
      <c r="O9" s="5" t="str">
        <f>CONCATENATE('1-Blade sections'!BE19,",",'1-Blade sections'!BF19,",",'1-Blade sections'!$A$28*1000)</f>
        <v>0,0,0</v>
      </c>
      <c r="P9" s="5" t="str">
        <f>CONCATENATE('1-Blade sections'!BH19,",",'1-Blade sections'!BI19,",",'1-Blade sections'!$A$29*1000)</f>
        <v>0,0,0</v>
      </c>
      <c r="Q9" s="5" t="str">
        <f>CONCATENATE('1-Blade sections'!BK19,",",'1-Blade sections'!BL19,",",'1-Blade sections'!$A$30*1000)</f>
        <v>0,0,0</v>
      </c>
      <c r="R9" s="5" t="str">
        <f>CONCATENATE('1-Blade sections'!BN19,",",'1-Blade sections'!BO19,",",'1-Blade sections'!$A$31*1000)</f>
        <v>0,0,0</v>
      </c>
      <c r="S9" s="5" t="str">
        <f>CONCATENATE('1-Blade sections'!BQ19,",",'1-Blade sections'!BR19,",",'1-Blade sections'!$A$32*1000)</f>
        <v>0,0,0</v>
      </c>
      <c r="T9" s="12" t="str">
        <f>CONCATENATE('1-Blade sections'!BT19,",",'1-Blade sections'!BU19,",",'1-Blade sections'!$A$33*1000)</f>
        <v>0,0,0</v>
      </c>
    </row>
    <row r="10" spans="1:20" x14ac:dyDescent="0.2">
      <c r="A10" s="5" t="str">
        <f>CONCATENATE('1-Blade sections'!O20,",",'1-Blade sections'!P20,",",'1-Blade sections'!$A$14*1000)</f>
        <v>9,73248,21,08784,30</v>
      </c>
      <c r="B10" s="5" t="str">
        <f>CONCATENATE('1-Blade sections'!R20,",",'1-Blade sections'!S20,",",'1-Blade sections'!$A$15*1000)</f>
        <v>-8,20699474380783,14,193399303818,67,5</v>
      </c>
      <c r="C10" s="5" t="str">
        <f>CONCATENATE('1-Blade sections'!U20,",",'1-Blade sections'!V20,",",'1-Blade sections'!$A$16*1000)</f>
        <v>-5,09424461240739,13,7078538662455,112,5</v>
      </c>
      <c r="D10" s="4" t="str">
        <f>CONCATENATE('1-Blade sections'!X20,",",'1-Blade sections'!Y20,",",'1-Blade sections'!$A$17*1000)</f>
        <v>-3,04657020620334,11,789128284556,157,5</v>
      </c>
      <c r="E10" s="11" t="str">
        <f>CONCATENATE('1-Blade sections'!AA20,",",'1-Blade sections'!AB20,",",'1-Blade sections'!$A$18*1000)</f>
        <v>-1,88793806155934,10,0086857309022,202,5</v>
      </c>
      <c r="F10" s="11" t="str">
        <f>CONCATENATE('1-Blade sections'!AD20,",",'1-Blade sections'!AE20,",",'1-Blade sections'!$A$19*1000)</f>
        <v>-1,21697525548032,8,58427549556859,247,5</v>
      </c>
      <c r="G10" s="5" t="str">
        <f>CONCATENATE('1-Blade sections'!AG20,",",'1-Blade sections'!AH20,",",'1-Blade sections'!$A$20*1000)</f>
        <v>-0,808833169032554,7,46921200013533,292,5</v>
      </c>
      <c r="H10" s="4" t="str">
        <f>CONCATENATE('1-Blade sections'!AJ20,",",'1-Blade sections'!AK20,",",'1-Blade sections'!$A$21*1000)</f>
        <v>-0,548470327203551,6,58912833550428,337,5</v>
      </c>
      <c r="I10" s="19" t="str">
        <f>CONCATENATE('1-Blade sections'!AM20,",",'1-Blade sections'!AN20,",",'1-Blade sections'!$A$22*1000)</f>
        <v>-0,375469359031597,5,88348607216678,382,5</v>
      </c>
      <c r="J10" s="5" t="str">
        <f>CONCATENATE('1-Blade sections'!AP20,",",'1-Blade sections'!AQ20,",",'1-Blade sections'!$A$23*1000)</f>
        <v>-0,256559425945304,5,30815903518666,427,5</v>
      </c>
      <c r="K10" s="29" t="str">
        <f>CONCATENATE('1-Blade sections'!AS20,",",'1-Blade sections'!AT20,",",'1-Blade sections'!$A$24*1000)</f>
        <v>-0,256559425945304,5,30815903518666,450</v>
      </c>
      <c r="L10" s="5" t="str">
        <f>CONCATENATE('1-Blade sections'!AV20,",",'1-Blade sections'!AW20,",",'1-Blade sections'!$A$25*1000)</f>
        <v>0,0,0</v>
      </c>
      <c r="M10" s="5" t="str">
        <f>CONCATENATE('1-Blade sections'!AY20,",",'1-Blade sections'!AZ20,",",'1-Blade sections'!$A$26*1000)</f>
        <v>0,0,0</v>
      </c>
      <c r="N10" s="5" t="str">
        <f>CONCATENATE('1-Blade sections'!BB20,",",'1-Blade sections'!BC20,",",'1-Blade sections'!$A$27*1000)</f>
        <v>0,0,0</v>
      </c>
      <c r="O10" s="5" t="str">
        <f>CONCATENATE('1-Blade sections'!BE20,",",'1-Blade sections'!BF20,",",'1-Blade sections'!$A$28*1000)</f>
        <v>0,0,0</v>
      </c>
      <c r="P10" s="5" t="str">
        <f>CONCATENATE('1-Blade sections'!BH20,",",'1-Blade sections'!BI20,",",'1-Blade sections'!$A$29*1000)</f>
        <v>0,0,0</v>
      </c>
      <c r="Q10" s="5" t="str">
        <f>CONCATENATE('1-Blade sections'!BK20,",",'1-Blade sections'!BL20,",",'1-Blade sections'!$A$30*1000)</f>
        <v>0,0,0</v>
      </c>
      <c r="R10" s="5" t="str">
        <f>CONCATENATE('1-Blade sections'!BN20,",",'1-Blade sections'!BO20,",",'1-Blade sections'!$A$31*1000)</f>
        <v>0,0,0</v>
      </c>
      <c r="S10" s="5" t="str">
        <f>CONCATENATE('1-Blade sections'!BQ20,",",'1-Blade sections'!BR20,",",'1-Blade sections'!$A$32*1000)</f>
        <v>0,0,0</v>
      </c>
      <c r="T10" s="12" t="str">
        <f>CONCATENATE('1-Blade sections'!BT20,",",'1-Blade sections'!BU20,",",'1-Blade sections'!$A$33*1000)</f>
        <v>0,0,0</v>
      </c>
    </row>
    <row r="11" spans="1:20" x14ac:dyDescent="0.2">
      <c r="A11" s="5" t="str">
        <f>CONCATENATE('1-Blade sections'!O21,",",'1-Blade sections'!P21,",",'1-Blade sections'!$A$14*1000)</f>
        <v>5,36976,22,548,30</v>
      </c>
      <c r="B11" s="5" t="str">
        <f>CONCATENATE('1-Blade sections'!R21,",",'1-Blade sections'!S21,",",'1-Blade sections'!$A$15*1000)</f>
        <v>-27,6469345049589,5,05429251141164,67,5</v>
      </c>
      <c r="C11" s="5" t="str">
        <f>CONCATENATE('1-Blade sections'!U21,",",'1-Blade sections'!V21,",",'1-Blade sections'!$A$16*1000)</f>
        <v>-23,5549034352535,8,57851048011429,112,5</v>
      </c>
      <c r="D11" s="5" t="str">
        <f>CONCATENATE('1-Blade sections'!X21,",",'1-Blade sections'!Y21,",",'1-Blade sections'!$A$17*1000)</f>
        <v>-18,7751429896019,9,12007567095801,157,5</v>
      </c>
      <c r="E11" s="12" t="str">
        <f>CONCATENATE('1-Blade sections'!AA21,",",'1-Blade sections'!AB21,",",'1-Blade sections'!$A$18*1000)</f>
        <v>-15,163604466435,8,65463902798755,202,5</v>
      </c>
      <c r="F11" s="11" t="str">
        <f>CONCATENATE('1-Blade sections'!AD21,",",'1-Blade sections'!AE21,",",'1-Blade sections'!$A$19*1000)</f>
        <v>-12,5586441749117,7,94809816089889,247,5</v>
      </c>
      <c r="G11" s="5" t="str">
        <f>CONCATENATE('1-Blade sections'!AG21,",",'1-Blade sections'!AH21,",",'1-Blade sections'!$A$20*1000)</f>
        <v>-10,6495157010209,7,24212303274492,292,5</v>
      </c>
      <c r="H11" s="4" t="str">
        <f>CONCATENATE('1-Blade sections'!AJ21,",",'1-Blade sections'!AK21,",",'1-Blade sections'!$A$21*1000)</f>
        <v>-9,21132713309987,6,60427922494855,337,5</v>
      </c>
      <c r="I11" s="19" t="str">
        <f>CONCATENATE('1-Blade sections'!AM21,",",'1-Blade sections'!AN21,",",'1-Blade sections'!$A$22*1000)</f>
        <v>-8,09792493042124,6,04618444958529,382,5</v>
      </c>
      <c r="J11" s="5" t="str">
        <f>CONCATENATE('1-Blade sections'!AP21,",",'1-Blade sections'!AQ21,",",'1-Blade sections'!$A$23*1000)</f>
        <v>-7,21474034812809,5,56225053916259,427,5</v>
      </c>
      <c r="K11" s="29" t="str">
        <f>CONCATENATE('1-Blade sections'!AS21,",",'1-Blade sections'!AT21,",",'1-Blade sections'!$A$24*1000)</f>
        <v>-7,21474034812809,5,56225053916259,450</v>
      </c>
      <c r="L11" s="5" t="str">
        <f>CONCATENATE('1-Blade sections'!AV21,",",'1-Blade sections'!AW21,",",'1-Blade sections'!$A$25*1000)</f>
        <v>0,0,0</v>
      </c>
      <c r="M11" s="5" t="str">
        <f>CONCATENATE('1-Blade sections'!AY21,",",'1-Blade sections'!AZ21,",",'1-Blade sections'!$A$26*1000)</f>
        <v>0,0,0</v>
      </c>
      <c r="N11" s="5" t="str">
        <f>CONCATENATE('1-Blade sections'!BB21,",",'1-Blade sections'!BC21,",",'1-Blade sections'!$A$27*1000)</f>
        <v>0,0,0</v>
      </c>
      <c r="O11" s="5" t="str">
        <f>CONCATENATE('1-Blade sections'!BE21,",",'1-Blade sections'!BF21,",",'1-Blade sections'!$A$28*1000)</f>
        <v>0,0,0</v>
      </c>
      <c r="P11" s="5" t="str">
        <f>CONCATENATE('1-Blade sections'!BH21,",",'1-Blade sections'!BI21,",",'1-Blade sections'!$A$29*1000)</f>
        <v>0,0,0</v>
      </c>
      <c r="Q11" s="5" t="str">
        <f>CONCATENATE('1-Blade sections'!BK21,",",'1-Blade sections'!BL21,",",'1-Blade sections'!$A$30*1000)</f>
        <v>0,0,0</v>
      </c>
      <c r="R11" s="5" t="str">
        <f>CONCATENATE('1-Blade sections'!BN21,",",'1-Blade sections'!BO21,",",'1-Blade sections'!$A$31*1000)</f>
        <v>0,0,0</v>
      </c>
      <c r="S11" s="5" t="str">
        <f>CONCATENATE('1-Blade sections'!BQ21,",",'1-Blade sections'!BR21,",",'1-Blade sections'!$A$32*1000)</f>
        <v>0,0,0</v>
      </c>
      <c r="T11" s="12" t="str">
        <f>CONCATENATE('1-Blade sections'!BT21,",",'1-Blade sections'!BU21,",",'1-Blade sections'!$A$33*1000)</f>
        <v>0,0,0</v>
      </c>
    </row>
    <row r="12" spans="1:20" x14ac:dyDescent="0.2">
      <c r="A12" s="5" t="str">
        <f>CONCATENATE('1-Blade sections'!O22,",",'1-Blade sections'!P22,",",'1-Blade sections'!$A$14*1000)</f>
        <v>0,808319999999998,23,14848,30</v>
      </c>
      <c r="B12" s="5" t="str">
        <f>CONCATENATE('1-Blade sections'!R22,",",'1-Blade sections'!S22,",",'1-Blade sections'!$A$15*1000)</f>
        <v>-46,6690246642711,-4,80745471552335,67,5</v>
      </c>
      <c r="C12" s="5" t="str">
        <f>CONCATENATE('1-Blade sections'!U22,",",'1-Blade sections'!V22,",",'1-Blade sections'!$A$16*1000)</f>
        <v>-41,7561947125594,2,75124764126298,112,5</v>
      </c>
      <c r="D12" s="4" t="str">
        <f>CONCATENATE('1-Blade sections'!X22,",",'1-Blade sections'!Y22,",",'1-Blade sections'!$A$17*1000)</f>
        <v>-34,3486031907003,5,85079328830297,157,5</v>
      </c>
      <c r="E12" s="11" t="str">
        <f>CONCATENATE('1-Blade sections'!AA22,",",'1-Blade sections'!AB22,",",'1-Blade sections'!$A$18*1000)</f>
        <v>-28,3431486984637,6,79101171997471,202,5</v>
      </c>
      <c r="F12" s="11" t="str">
        <f>CONCATENATE('1-Blade sections'!AD22,",",'1-Blade sections'!AE22,",",'1-Blade sections'!$A$19*1000)</f>
        <v>-23,8383522131893,6,87486241326943,247,5</v>
      </c>
      <c r="G12" s="5" t="str">
        <f>CONCATENATE('1-Blade sections'!AG22,",",'1-Blade sections'!AH22,",",'1-Blade sections'!$A$20*1000)</f>
        <v>-20,449017431975,6,63474781469488,292,5</v>
      </c>
      <c r="H12" s="4" t="str">
        <f>CONCATENATE('1-Blade sections'!AJ22,",",'1-Blade sections'!AK22,",",'1-Blade sections'!$A$21*1000)</f>
        <v>-17,8462592095433,6,28395230096636,337,5</v>
      </c>
      <c r="I12" s="19" t="str">
        <f>CONCATENATE('1-Blade sections'!AM22,",",'1-Blade sections'!AN22,",",'1-Blade sections'!$A$22*1000)</f>
        <v>-15,8012639156461,5,90933196954361,382,5</v>
      </c>
      <c r="J12" s="5" t="str">
        <f>CONCATENATE('1-Blade sections'!AP22,",",'1-Blade sections'!AQ22,",",'1-Blade sections'!$A$23*1000)</f>
        <v>-14,1598588452301,5,54608329330526,427,5</v>
      </c>
      <c r="K12" s="29" t="str">
        <f>CONCATENATE('1-Blade sections'!AS22,",",'1-Blade sections'!AT22,",",'1-Blade sections'!$A$24*1000)</f>
        <v>-14,1598588452301,5,54608329330526,450</v>
      </c>
      <c r="L12" s="5" t="str">
        <f>CONCATENATE('1-Blade sections'!AV22,",",'1-Blade sections'!AW22,",",'1-Blade sections'!$A$25*1000)</f>
        <v>0,0,0</v>
      </c>
      <c r="M12" s="5" t="str">
        <f>CONCATENATE('1-Blade sections'!AY22,",",'1-Blade sections'!AZ22,",",'1-Blade sections'!$A$26*1000)</f>
        <v>0,0,0</v>
      </c>
      <c r="N12" s="5" t="str">
        <f>CONCATENATE('1-Blade sections'!BB22,",",'1-Blade sections'!BC22,",",'1-Blade sections'!$A$27*1000)</f>
        <v>0,0,0</v>
      </c>
      <c r="O12" s="5" t="str">
        <f>CONCATENATE('1-Blade sections'!BE22,",",'1-Blade sections'!BF22,",",'1-Blade sections'!$A$28*1000)</f>
        <v>0,0,0</v>
      </c>
      <c r="P12" s="5" t="str">
        <f>CONCATENATE('1-Blade sections'!BH22,",",'1-Blade sections'!BI22,",",'1-Blade sections'!$A$29*1000)</f>
        <v>0,0,0</v>
      </c>
      <c r="Q12" s="5" t="str">
        <f>CONCATENATE('1-Blade sections'!BK22,",",'1-Blade sections'!BL22,",",'1-Blade sections'!$A$30*1000)</f>
        <v>0,0,0</v>
      </c>
      <c r="R12" s="5" t="str">
        <f>CONCATENATE('1-Blade sections'!BN22,",",'1-Blade sections'!BO22,",",'1-Blade sections'!$A$31*1000)</f>
        <v>0,0,0</v>
      </c>
      <c r="S12" s="5" t="str">
        <f>CONCATENATE('1-Blade sections'!BQ22,",",'1-Blade sections'!BR22,",",'1-Blade sections'!$A$32*1000)</f>
        <v>0,0,0</v>
      </c>
      <c r="T12" s="12" t="str">
        <f>CONCATENATE('1-Blade sections'!BT22,",",'1-Blade sections'!BU22,",",'1-Blade sections'!$A$33*1000)</f>
        <v>0,0,0</v>
      </c>
    </row>
    <row r="13" spans="1:20" x14ac:dyDescent="0.2">
      <c r="A13" s="5" t="str">
        <f>CONCATENATE('1-Blade sections'!O23,",",'1-Blade sections'!P23,",",'1-Blade sections'!$A$14*1000)</f>
        <v>-3,78384,22,8672,30</v>
      </c>
      <c r="B13" s="5" t="str">
        <f>CONCATENATE('1-Blade sections'!R23,",",'1-Blade sections'!S23,",",'1-Blade sections'!$A$15*1000)</f>
        <v>-55,9657878968304,-10,1089131672106,67,5</v>
      </c>
      <c r="C13" s="5" t="str">
        <f>CONCATENATE('1-Blade sections'!U23,",",'1-Blade sections'!V23,",",'1-Blade sections'!$A$16*1000)</f>
        <v>-50,7238313534993,-0,520291189813984,112,5</v>
      </c>
      <c r="D13" s="5" t="str">
        <f>CONCATENATE('1-Blade sections'!X23,",",'1-Blade sections'!Y23,",",'1-Blade sections'!$A$17*1000)</f>
        <v>-42,0557883772494,3,90834195899749,157,5</v>
      </c>
      <c r="E13" s="12" t="str">
        <f>CONCATENATE('1-Blade sections'!AA23,",",'1-Blade sections'!AB23,",",'1-Blade sections'!$A$18*1000)</f>
        <v>-34,8836273925052,5,59787467873847,202,5</v>
      </c>
      <c r="F13" s="11" t="str">
        <f>CONCATENATE('1-Blade sections'!AD23,",",'1-Blade sections'!AE23,",",'1-Blade sections'!$A$19*1000)</f>
        <v>-29,4464314214801,6,11411201998816,247,5</v>
      </c>
      <c r="G13" s="5" t="str">
        <f>CONCATENATE('1-Blade sections'!AG23,",",'1-Blade sections'!AH23,",",'1-Blade sections'!$A$20*1000)</f>
        <v>-25,3276499379473,6,136041615588,292,5</v>
      </c>
      <c r="H13" s="4" t="str">
        <f>CONCATENATE('1-Blade sections'!AJ23,",",'1-Blade sections'!AK23,",",'1-Blade sections'!$A$21*1000)</f>
        <v>-22,1494048736865,5,95174893465401,337,5</v>
      </c>
      <c r="I13" s="19" t="str">
        <f>CONCATENATE('1-Blade sections'!AM23,",",'1-Blade sections'!AN23,",",'1-Blade sections'!$A$22*1000)</f>
        <v>-19,6431300307381,5,68728990518422,382,5</v>
      </c>
      <c r="J13" s="5" t="str">
        <f>CONCATENATE('1-Blade sections'!AP23,",",'1-Blade sections'!AQ23,",",'1-Blade sections'!$A$23*1000)</f>
        <v>-17,6257194142525,5,39940543969287,427,5</v>
      </c>
      <c r="K13" s="29" t="str">
        <f>CONCATENATE('1-Blade sections'!AS23,",",'1-Blade sections'!AT23,",",'1-Blade sections'!$A$24*1000)</f>
        <v>-17,6257194142525,5,39940543969287,450</v>
      </c>
      <c r="L13" s="5" t="str">
        <f>CONCATENATE('1-Blade sections'!AV23,",",'1-Blade sections'!AW23,",",'1-Blade sections'!$A$25*1000)</f>
        <v>0,0,0</v>
      </c>
      <c r="M13" s="5" t="str">
        <f>CONCATENATE('1-Blade sections'!AY23,",",'1-Blade sections'!AZ23,",",'1-Blade sections'!$A$26*1000)</f>
        <v>0,0,0</v>
      </c>
      <c r="N13" s="5" t="str">
        <f>CONCATENATE('1-Blade sections'!BB23,",",'1-Blade sections'!BC23,",",'1-Blade sections'!$A$27*1000)</f>
        <v>0,0,0</v>
      </c>
      <c r="O13" s="5" t="str">
        <f>CONCATENATE('1-Blade sections'!BE23,",",'1-Blade sections'!BF23,",",'1-Blade sections'!$A$28*1000)</f>
        <v>0,0,0</v>
      </c>
      <c r="P13" s="5" t="str">
        <f>CONCATENATE('1-Blade sections'!BH23,",",'1-Blade sections'!BI23,",",'1-Blade sections'!$A$29*1000)</f>
        <v>0,0,0</v>
      </c>
      <c r="Q13" s="5" t="str">
        <f>CONCATENATE('1-Blade sections'!BK23,",",'1-Blade sections'!BL23,",",'1-Blade sections'!$A$30*1000)</f>
        <v>0,0,0</v>
      </c>
      <c r="R13" s="5" t="str">
        <f>CONCATENATE('1-Blade sections'!BN23,",",'1-Blade sections'!BO23,",",'1-Blade sections'!$A$31*1000)</f>
        <v>0,0,0</v>
      </c>
      <c r="S13" s="5" t="str">
        <f>CONCATENATE('1-Blade sections'!BQ23,",",'1-Blade sections'!BR23,",",'1-Blade sections'!$A$32*1000)</f>
        <v>0,0,0</v>
      </c>
      <c r="T13" s="12" t="str">
        <f>CONCATENATE('1-Blade sections'!BT23,",",'1-Blade sections'!BU23,",",'1-Blade sections'!$A$33*1000)</f>
        <v>0,0,0</v>
      </c>
    </row>
    <row r="14" spans="1:20" x14ac:dyDescent="0.2">
      <c r="A14" s="5" t="str">
        <f>CONCATENATE('1-Blade sections'!O24,",",'1-Blade sections'!P24,",",'1-Blade sections'!$A$14*1000)</f>
        <v>-8,23776,21,71568,30</v>
      </c>
      <c r="B14" s="5" t="str">
        <f>CONCATENATE('1-Blade sections'!R24,",",'1-Blade sections'!S24,",",'1-Blade sections'!$A$15*1000)</f>
        <v>-65,0589833746478,-15,7624272152067,67,5</v>
      </c>
      <c r="C14" s="5" t="str">
        <f>CONCATENATE('1-Blade sections'!U24,",",'1-Blade sections'!V24,",",'1-Blade sections'!$A$16*1000)</f>
        <v>-59,5651094466118,-4,13184206195971,112,5</v>
      </c>
      <c r="D14" s="4" t="str">
        <f>CONCATENATE('1-Blade sections'!X24,",",'1-Blade sections'!Y24,",",'1-Blade sections'!$A$17*1000)</f>
        <v>-49,6874058954984,1,67347099861294,157,5</v>
      </c>
      <c r="E14" s="11" t="str">
        <f>CONCATENATE('1-Blade sections'!AA24,",",'1-Blade sections'!AB24,",",'1-Blade sections'!$A$18*1000)</f>
        <v>-41,3772773356725,4,15648041963389,202,5</v>
      </c>
      <c r="F14" s="11" t="str">
        <f>CONCATENATE('1-Blade sections'!AD24,",",'1-Blade sections'!AE24,",",'1-Blade sections'!$A$19*1000)</f>
        <v>-35,0243245594652,5,14043573321367,247,5</v>
      </c>
      <c r="G14" s="5" t="str">
        <f>CONCATENATE('1-Blade sections'!AG24,",",'1-Blade sections'!AH24,",",'1-Blade sections'!$A$20*1000)</f>
        <v>-30,18622000239,5,45206775590335,292,5</v>
      </c>
      <c r="H14" s="4" t="str">
        <f>CONCATENATE('1-Blade sections'!AJ24,",",'1-Blade sections'!AK24,",",'1-Blade sections'!$A$21*1000)</f>
        <v>-26,4389461824553,5,45610765923646,337,5</v>
      </c>
      <c r="I14" s="19" t="str">
        <f>CONCATENATE('1-Blade sections'!AM24,",",'1-Blade sections'!AN24,",",'1-Blade sections'!$A$22*1000)</f>
        <v>-23,4756829371857,5,31931280770319,382,5</v>
      </c>
      <c r="J14" s="5" t="str">
        <f>CONCATENATE('1-Blade sections'!AP24,",",'1-Blade sections'!AQ24,",",'1-Blade sections'!$A$23*1000)</f>
        <v>-21,0852162377228,5,12106306693094,427,5</v>
      </c>
      <c r="K14" s="29" t="str">
        <f>CONCATENATE('1-Blade sections'!AS24,",",'1-Blade sections'!AT24,",",'1-Blade sections'!$A$24*1000)</f>
        <v>-21,0852162377228,5,12106306693094,450</v>
      </c>
      <c r="L14" s="5" t="str">
        <f>CONCATENATE('1-Blade sections'!AV24,",",'1-Blade sections'!AW24,",",'1-Blade sections'!$A$25*1000)</f>
        <v>0,0,0</v>
      </c>
      <c r="M14" s="5" t="str">
        <f>CONCATENATE('1-Blade sections'!AY24,",",'1-Blade sections'!AZ24,",",'1-Blade sections'!$A$26*1000)</f>
        <v>0,0,0</v>
      </c>
      <c r="N14" s="5" t="str">
        <f>CONCATENATE('1-Blade sections'!BB24,",",'1-Blade sections'!BC24,",",'1-Blade sections'!$A$27*1000)</f>
        <v>0,0,0</v>
      </c>
      <c r="O14" s="5" t="str">
        <f>CONCATENATE('1-Blade sections'!BE24,",",'1-Blade sections'!BF24,",",'1-Blade sections'!$A$28*1000)</f>
        <v>0,0,0</v>
      </c>
      <c r="P14" s="5" t="str">
        <f>CONCATENATE('1-Blade sections'!BH24,",",'1-Blade sections'!BI24,",",'1-Blade sections'!$A$29*1000)</f>
        <v>0,0,0</v>
      </c>
      <c r="Q14" s="5" t="str">
        <f>CONCATENATE('1-Blade sections'!BK24,",",'1-Blade sections'!BL24,",",'1-Blade sections'!$A$30*1000)</f>
        <v>0,0,0</v>
      </c>
      <c r="R14" s="5" t="str">
        <f>CONCATENATE('1-Blade sections'!BN24,",",'1-Blade sections'!BO24,",",'1-Blade sections'!$A$31*1000)</f>
        <v>0,0,0</v>
      </c>
      <c r="S14" s="5" t="str">
        <f>CONCATENATE('1-Blade sections'!BQ24,",",'1-Blade sections'!BR24,",",'1-Blade sections'!$A$32*1000)</f>
        <v>0,0,0</v>
      </c>
      <c r="T14" s="12" t="str">
        <f>CONCATENATE('1-Blade sections'!BT24,",",'1-Blade sections'!BU24,",",'1-Blade sections'!$A$33*1000)</f>
        <v>0,0,0</v>
      </c>
    </row>
    <row r="15" spans="1:20" x14ac:dyDescent="0.2">
      <c r="A15" s="5" t="str">
        <f>CONCATENATE('1-Blade sections'!O25,",",'1-Blade sections'!P25,",",'1-Blade sections'!$A$14*1000)</f>
        <v>-12,39024,19,73472,30</v>
      </c>
      <c r="B15" s="5" t="str">
        <f>CONCATENATE('1-Blade sections'!R25,",",'1-Blade sections'!S25,",",'1-Blade sections'!$A$15*1000)</f>
        <v>-73,895040635949,-21,8606430690666,67,5</v>
      </c>
      <c r="C15" s="5" t="str">
        <f>CONCATENATE('1-Blade sections'!U25,",",'1-Blade sections'!V25,",",'1-Blade sections'!$A$16*1000)</f>
        <v>-68,2467767424689,-8,17288182808702,112,5</v>
      </c>
      <c r="D15" s="5" t="str">
        <f>CONCATENATE('1-Blade sections'!X25,",",'1-Blade sections'!Y25,",",'1-Blade sections'!$A$17*1000)</f>
        <v>-57,2235695169473,-0,930772127345165,157,5</v>
      </c>
      <c r="E15" s="12" t="str">
        <f>CONCATENATE('1-Blade sections'!AA25,",",'1-Blade sections'!AB25,",",'1-Blade sections'!$A$18*1000)</f>
        <v>-47,8117751724725,2,40149809585353,202,5</v>
      </c>
      <c r="F15" s="11" t="str">
        <f>CONCATENATE('1-Blade sections'!AD25,",",'1-Blade sections'!AE25,",",'1-Blade sections'!$A$19*1000)</f>
        <v>-40,5640879244327,3,89780042307934,247,5</v>
      </c>
      <c r="G15" s="5" t="str">
        <f>CONCATENATE('1-Blade sections'!AG25,",",'1-Blade sections'!AH25,",",'1-Blade sections'!$A$20*1000)</f>
        <v>-35,019448035427,4,53407158812046,292,5</v>
      </c>
      <c r="H15" s="4" t="str">
        <f>CONCATENATE('1-Blade sections'!AJ25,",",'1-Blade sections'!AK25,",",'1-Blade sections'!$A$21*1000)</f>
        <v>-30,71130304233,4,7540184986334,337,5</v>
      </c>
      <c r="I15" s="19" t="str">
        <f>CONCATENATE('1-Blade sections'!AM25,",",'1-Blade sections'!AN25,",",'1-Blade sections'!$A$22*1000)</f>
        <v>-27,2964717906089,4,76699672101589,382,5</v>
      </c>
      <c r="J15" s="5" t="str">
        <f>CONCATENATE('1-Blade sections'!AP25,",",'1-Blade sections'!AQ25,",",'1-Blade sections'!$A$23*1000)</f>
        <v>-24,5366746457587,4,67640761734854,427,5</v>
      </c>
      <c r="K15" s="29" t="str">
        <f>CONCATENATE('1-Blade sections'!AS25,",",'1-Blade sections'!AT25,",",'1-Blade sections'!$A$24*1000)</f>
        <v>-24,5366746457587,4,67640761734854,450</v>
      </c>
      <c r="L15" s="5" t="str">
        <f>CONCATENATE('1-Blade sections'!AV25,",",'1-Blade sections'!AW25,",",'1-Blade sections'!$A$25*1000)</f>
        <v>0,0,0</v>
      </c>
      <c r="M15" s="5" t="str">
        <f>CONCATENATE('1-Blade sections'!AY25,",",'1-Blade sections'!AZ25,",",'1-Blade sections'!$A$26*1000)</f>
        <v>0,0,0</v>
      </c>
      <c r="N15" s="5" t="str">
        <f>CONCATENATE('1-Blade sections'!BB25,",",'1-Blade sections'!BC25,",",'1-Blade sections'!$A$27*1000)</f>
        <v>0,0,0</v>
      </c>
      <c r="O15" s="5" t="str">
        <f>CONCATENATE('1-Blade sections'!BE25,",",'1-Blade sections'!BF25,",",'1-Blade sections'!$A$28*1000)</f>
        <v>0,0,0</v>
      </c>
      <c r="P15" s="5" t="str">
        <f>CONCATENATE('1-Blade sections'!BH25,",",'1-Blade sections'!BI25,",",'1-Blade sections'!$A$29*1000)</f>
        <v>0,0,0</v>
      </c>
      <c r="Q15" s="5" t="str">
        <f>CONCATENATE('1-Blade sections'!BK25,",",'1-Blade sections'!BL25,",",'1-Blade sections'!$A$30*1000)</f>
        <v>0,0,0</v>
      </c>
      <c r="R15" s="5" t="str">
        <f>CONCATENATE('1-Blade sections'!BN25,",",'1-Blade sections'!BO25,",",'1-Blade sections'!$A$31*1000)</f>
        <v>0,0,0</v>
      </c>
      <c r="S15" s="5" t="str">
        <f>CONCATENATE('1-Blade sections'!BQ25,",",'1-Blade sections'!BR25,",",'1-Blade sections'!$A$32*1000)</f>
        <v>0,0,0</v>
      </c>
      <c r="T15" s="12" t="str">
        <f>CONCATENATE('1-Blade sections'!BT25,",",'1-Blade sections'!BU25,",",'1-Blade sections'!$A$33*1000)</f>
        <v>0,0,0</v>
      </c>
    </row>
    <row r="16" spans="1:20" x14ac:dyDescent="0.2">
      <c r="A16" s="5" t="str">
        <f>CONCATENATE('1-Blade sections'!O26,",",'1-Blade sections'!P26,",",'1-Blade sections'!$A$14*1000)</f>
        <v>-16,08864,16,99824,30</v>
      </c>
      <c r="B16" s="5" t="str">
        <f>CONCATENATE('1-Blade sections'!R26,",",'1-Blade sections'!S26,",",'1-Blade sections'!$A$15*1000)</f>
        <v>-82,2168214642178,-28,8482625346539,67,5</v>
      </c>
      <c r="C16" s="5" t="str">
        <f>CONCATENATE('1-Blade sections'!U26,",",'1-Blade sections'!V26,",",'1-Blade sections'!$A$16*1000)</f>
        <v>-76,6092224438147,-13,0728993821775,112,5</v>
      </c>
      <c r="D16" s="4" t="str">
        <f>CONCATENATE('1-Blade sections'!X26,",",'1-Blade sections'!Y26,",",'1-Blade sections'!$A$17*1000)</f>
        <v>-64,5688253447961,-4,27375958445039,157,5</v>
      </c>
      <c r="E16" s="11" t="str">
        <f>CONCATENATE('1-Blade sections'!AA26,",",'1-Blade sections'!AB26,",",'1-Blade sections'!$A$18*1000)</f>
        <v>-54,1279687965376,0,0193396427215867,202,5</v>
      </c>
      <c r="F16" s="11" t="str">
        <f>CONCATENATE('1-Blade sections'!AD26,",",'1-Blade sections'!AE26,",",'1-Blade sections'!$A$19*1000)</f>
        <v>-46,0275917433649,2,11724706622529,247,5</v>
      </c>
      <c r="G16" s="5" t="str">
        <f>CONCATENATE('1-Blade sections'!AG26,",",'1-Blade sections'!AH26,",",'1-Blade sections'!$A$20*1000)</f>
        <v>-39,8019920056526,3,14803080414111,292,5</v>
      </c>
      <c r="H16" s="4" t="str">
        <f>CONCATENATE('1-Blade sections'!AJ26,",",'1-Blade sections'!AK26,",",'1-Blade sections'!$A$21*1000)</f>
        <v>-34,9492910044164,3,63903356765931,337,5</v>
      </c>
      <c r="I16" s="19" t="str">
        <f>CONCATENATE('1-Blade sections'!AM26,",",'1-Blade sections'!AN26,",",'1-Blade sections'!$A$22*1000)</f>
        <v>-31,093732537983,3,84600265591605,382,5</v>
      </c>
      <c r="J16" s="5" t="str">
        <f>CONCATENATE('1-Blade sections'!AP26,",",'1-Blade sections'!AQ26,",",'1-Blade sections'!$A$23*1000)</f>
        <v>-27,972056222926,3,8991260141252,427,5</v>
      </c>
      <c r="K16" s="29" t="str">
        <f>CONCATENATE('1-Blade sections'!AS26,",",'1-Blade sections'!AT26,",",'1-Blade sections'!$A$24*1000)</f>
        <v>-27,972056222926,3,8991260141252,450</v>
      </c>
      <c r="L16" s="5" t="str">
        <f>CONCATENATE('1-Blade sections'!AV26,",",'1-Blade sections'!AW26,",",'1-Blade sections'!$A$25*1000)</f>
        <v>0,0,0</v>
      </c>
      <c r="M16" s="5" t="str">
        <f>CONCATENATE('1-Blade sections'!AY26,",",'1-Blade sections'!AZ26,",",'1-Blade sections'!$A$26*1000)</f>
        <v>0,0,0</v>
      </c>
      <c r="N16" s="5" t="str">
        <f>CONCATENATE('1-Blade sections'!BB26,",",'1-Blade sections'!BC26,",",'1-Blade sections'!$A$27*1000)</f>
        <v>0,0,0</v>
      </c>
      <c r="O16" s="5" t="str">
        <f>CONCATENATE('1-Blade sections'!BE26,",",'1-Blade sections'!BF26,",",'1-Blade sections'!$A$28*1000)</f>
        <v>0,0,0</v>
      </c>
      <c r="P16" s="5" t="str">
        <f>CONCATENATE('1-Blade sections'!BH26,",",'1-Blade sections'!BI26,",",'1-Blade sections'!$A$29*1000)</f>
        <v>0,0,0</v>
      </c>
      <c r="Q16" s="5" t="str">
        <f>CONCATENATE('1-Blade sections'!BK26,",",'1-Blade sections'!BL26,",",'1-Blade sections'!$A$30*1000)</f>
        <v>0,0,0</v>
      </c>
      <c r="R16" s="5" t="str">
        <f>CONCATENATE('1-Blade sections'!BN26,",",'1-Blade sections'!BO26,",",'1-Blade sections'!$A$31*1000)</f>
        <v>0,0,0</v>
      </c>
      <c r="S16" s="5" t="str">
        <f>CONCATENATE('1-Blade sections'!BQ26,",",'1-Blade sections'!BR26,",",'1-Blade sections'!$A$32*1000)</f>
        <v>0,0,0</v>
      </c>
      <c r="T16" s="12" t="str">
        <f>CONCATENATE('1-Blade sections'!BT26,",",'1-Blade sections'!BU26,",",'1-Blade sections'!$A$33*1000)</f>
        <v>0,0,0</v>
      </c>
    </row>
    <row r="17" spans="1:20" x14ac:dyDescent="0.2">
      <c r="A17" s="5" t="str">
        <f>CONCATENATE('1-Blade sections'!O27,",",'1-Blade sections'!P27,",",'1-Blade sections'!$A$14*1000)</f>
        <v>-19,19664,13,60656,30</v>
      </c>
      <c r="B17" s="5" t="str">
        <f>CONCATENATE('1-Blade sections'!R27,",",'1-Blade sections'!S27,",",'1-Blade sections'!$A$15*1000)</f>
        <v>-86,056289107707,-32,8979495247773,67,5</v>
      </c>
      <c r="C17" s="5" t="str">
        <f>CONCATENATE('1-Blade sections'!U27,",",'1-Blade sections'!V27,",",'1-Blade sections'!$A$16*1000)</f>
        <v>-80,5909317979181,-16,0597692766997,112,5</v>
      </c>
      <c r="D17" s="5" t="str">
        <f>CONCATENATE('1-Blade sections'!X27,",",'1-Blade sections'!Y27,",",'1-Blade sections'!$A$17*1000)</f>
        <v>-68,1221358877203,-6,40696851996994,157,5</v>
      </c>
      <c r="E17" s="12" t="str">
        <f>CONCATENATE('1-Blade sections'!AA27,",",'1-Blade sections'!AB27,",",'1-Blade sections'!$A$18*1000)</f>
        <v>-57,2121254756109,-1,56372466468911,202,5</v>
      </c>
      <c r="F17" s="11" t="str">
        <f>CONCATENATE('1-Blade sections'!AD27,",",'1-Blade sections'!AE27,",",'1-Blade sections'!$A$19*1000)</f>
        <v>-48,7116814365589,0,890771608598459,247,5</v>
      </c>
      <c r="G17" s="5" t="str">
        <f>CONCATENATE('1-Blade sections'!AG27,",",'1-Blade sections'!AH27,",",'1-Blade sections'!$A$20*1000)</f>
        <v>-42,1615864515083,2,16248252702864,292,5</v>
      </c>
      <c r="H17" s="4" t="str">
        <f>CONCATENATE('1-Blade sections'!AJ27,",",'1-Blade sections'!AK27,",",'1-Blade sections'!$A$21*1000)</f>
        <v>-37,046804424342,2,82348124569037,337,5</v>
      </c>
      <c r="I17" s="19" t="str">
        <f>CONCATENATE('1-Blade sections'!AM27,",",'1-Blade sections'!AN27,",",'1-Blade sections'!$A$22*1000)</f>
        <v>-32,9776578453895,3,1550818868583,382,5</v>
      </c>
      <c r="J17" s="5" t="str">
        <f>CONCATENATE('1-Blade sections'!AP27,",",'1-Blade sections'!AQ27,",",'1-Blade sections'!$A$23*1000)</f>
        <v>-29,6796989922167,3,30259386648794,427,5</v>
      </c>
      <c r="K17" s="29" t="str">
        <f>CONCATENATE('1-Blade sections'!AS27,",",'1-Blade sections'!AT27,",",'1-Blade sections'!$A$24*1000)</f>
        <v>-29,6796989922167,3,30259386648794,450</v>
      </c>
      <c r="L17" s="5" t="str">
        <f>CONCATENATE('1-Blade sections'!AV27,",",'1-Blade sections'!AW27,",",'1-Blade sections'!$A$25*1000)</f>
        <v>0,0,0</v>
      </c>
      <c r="M17" s="5" t="str">
        <f>CONCATENATE('1-Blade sections'!AY27,",",'1-Blade sections'!AZ27,",",'1-Blade sections'!$A$26*1000)</f>
        <v>0,0,0</v>
      </c>
      <c r="N17" s="5" t="str">
        <f>CONCATENATE('1-Blade sections'!BB27,",",'1-Blade sections'!BC27,",",'1-Blade sections'!$A$27*1000)</f>
        <v>0,0,0</v>
      </c>
      <c r="O17" s="5" t="str">
        <f>CONCATENATE('1-Blade sections'!BE27,",",'1-Blade sections'!BF27,",",'1-Blade sections'!$A$28*1000)</f>
        <v>0,0,0</v>
      </c>
      <c r="P17" s="5" t="str">
        <f>CONCATENATE('1-Blade sections'!BH27,",",'1-Blade sections'!BI27,",",'1-Blade sections'!$A$29*1000)</f>
        <v>0,0,0</v>
      </c>
      <c r="Q17" s="5" t="str">
        <f>CONCATENATE('1-Blade sections'!BK27,",",'1-Blade sections'!BL27,",",'1-Blade sections'!$A$30*1000)</f>
        <v>0,0,0</v>
      </c>
      <c r="R17" s="5" t="str">
        <f>CONCATENATE('1-Blade sections'!BN27,",",'1-Blade sections'!BO27,",",'1-Blade sections'!$A$31*1000)</f>
        <v>0,0,0</v>
      </c>
      <c r="S17" s="5" t="str">
        <f>CONCATENATE('1-Blade sections'!BQ27,",",'1-Blade sections'!BR27,",",'1-Blade sections'!$A$32*1000)</f>
        <v>0,0,0</v>
      </c>
      <c r="T17" s="12" t="str">
        <f>CONCATENATE('1-Blade sections'!BT27,",",'1-Blade sections'!BU27,",",'1-Blade sections'!$A$33*1000)</f>
        <v>0,0,0</v>
      </c>
    </row>
    <row r="18" spans="1:20" x14ac:dyDescent="0.2">
      <c r="A18" s="5" t="str">
        <f>CONCATENATE('1-Blade sections'!O28,",",'1-Blade sections'!P28,",",'1-Blade sections'!$A$14*1000)</f>
        <v>-21,60048,9,684,30</v>
      </c>
      <c r="B18" s="5" t="str">
        <f>CONCATENATE('1-Blade sections'!R28,",",'1-Blade sections'!S28,",",'1-Blade sections'!$A$15*1000)</f>
        <v>-89,6064762576155,-37,4479260464973,67,5</v>
      </c>
      <c r="C18" s="5" t="str">
        <f>CONCATENATE('1-Blade sections'!U28,",",'1-Blade sections'!V28,",",'1-Blade sections'!$A$16*1000)</f>
        <v>-84,393079005109,-19,5298141769512,112,5</v>
      </c>
      <c r="D18" s="4" t="str">
        <f>CONCATENATE('1-Blade sections'!X28,",",'1-Blade sections'!Y28,",",'1-Blade sections'!$A$17*1000)</f>
        <v>-71,5680607967444,-8,95572114175975,157,5</v>
      </c>
      <c r="E18" s="11" t="str">
        <f>CONCATENATE('1-Blade sections'!AA28,",",'1-Blade sections'!AB28,",",'1-Blade sections'!$A$18*1000)</f>
        <v>-60,229736035021,-3,49957554486009,202,5</v>
      </c>
      <c r="F18" s="11" t="str">
        <f>CONCATENATE('1-Blade sections'!AD28,",",'1-Blade sections'!AE28,",",'1-Blade sections'!$A$19*1000)</f>
        <v>-51,352875135108,-0,638282750308212,247,5</v>
      </c>
      <c r="G18" s="5" t="str">
        <f>CONCATENATE('1-Blade sections'!AG28,",",'1-Blade sections'!AH28,",",'1-Blade sections'!$A$20*1000)</f>
        <v>-44,4926711120325,0,913659153305653,292,5</v>
      </c>
      <c r="H18" s="4" t="str">
        <f>CONCATENATE('1-Blade sections'!AJ28,",",'1-Blade sections'!AK28,",",'1-Blade sections'!$A$21*1000)</f>
        <v>-39,1249853392618,1,77567505288774,337,5</v>
      </c>
      <c r="I18" s="19" t="str">
        <f>CONCATENATE('1-Blade sections'!AM28,",",'1-Blade sections'!AN28,",",'1-Blade sections'!$A$22*1000)</f>
        <v>-34,8483485931434,2,25677975494349,382,5</v>
      </c>
      <c r="J18" s="5" t="str">
        <f>CONCATENATE('1-Blade sections'!AP28,",",'1-Blade sections'!AQ28,",",'1-Blade sections'!$A$23*1000)</f>
        <v>-31,3782985441439,2,51895950742765,427,5</v>
      </c>
      <c r="K18" s="29" t="str">
        <f>CONCATENATE('1-Blade sections'!AS28,",",'1-Blade sections'!AT28,",",'1-Blade sections'!$A$24*1000)</f>
        <v>-31,3782985441439,2,51895950742765,450</v>
      </c>
      <c r="L18" s="5" t="str">
        <f>CONCATENATE('1-Blade sections'!AV28,",",'1-Blade sections'!AW28,",",'1-Blade sections'!$A$25*1000)</f>
        <v>0,0,0</v>
      </c>
      <c r="M18" s="5" t="str">
        <f>CONCATENATE('1-Blade sections'!AY28,",",'1-Blade sections'!AZ28,",",'1-Blade sections'!$A$26*1000)</f>
        <v>0,0,0</v>
      </c>
      <c r="N18" s="5" t="str">
        <f>CONCATENATE('1-Blade sections'!BB28,",",'1-Blade sections'!BC28,",",'1-Blade sections'!$A$27*1000)</f>
        <v>0,0,0</v>
      </c>
      <c r="O18" s="5" t="str">
        <f>CONCATENATE('1-Blade sections'!BE28,",",'1-Blade sections'!BF28,",",'1-Blade sections'!$A$28*1000)</f>
        <v>0,0,0</v>
      </c>
      <c r="P18" s="5" t="str">
        <f>CONCATENATE('1-Blade sections'!BH28,",",'1-Blade sections'!BI28,",",'1-Blade sections'!$A$29*1000)</f>
        <v>0,0,0</v>
      </c>
      <c r="Q18" s="5" t="str">
        <f>CONCATENATE('1-Blade sections'!BK28,",",'1-Blade sections'!BL28,",",'1-Blade sections'!$A$30*1000)</f>
        <v>0,0,0</v>
      </c>
      <c r="R18" s="5" t="str">
        <f>CONCATENATE('1-Blade sections'!BN28,",",'1-Blade sections'!BO28,",",'1-Blade sections'!$A$31*1000)</f>
        <v>0,0,0</v>
      </c>
      <c r="S18" s="5" t="str">
        <f>CONCATENATE('1-Blade sections'!BQ28,",",'1-Blade sections'!BR28,",",'1-Blade sections'!$A$32*1000)</f>
        <v>0,0,0</v>
      </c>
      <c r="T18" s="12" t="str">
        <f>CONCATENATE('1-Blade sections'!BT28,",",'1-Blade sections'!BU28,",",'1-Blade sections'!$A$33*1000)</f>
        <v>0,0,0</v>
      </c>
    </row>
    <row r="19" spans="1:20" x14ac:dyDescent="0.2">
      <c r="A19" s="5" t="str">
        <f>CONCATENATE('1-Blade sections'!O29,",",'1-Blade sections'!P29,",",'1-Blade sections'!$A$14*1000)</f>
        <v>-23,21136,5,37456,30</v>
      </c>
      <c r="B19" s="5" t="str">
        <f>CONCATENATE('1-Blade sections'!R29,",",'1-Blade sections'!S29,",",'1-Blade sections'!$A$15*1000)</f>
        <v>-92,685243343911,-42,8131892123009,67,5</v>
      </c>
      <c r="C19" s="5" t="str">
        <f>CONCATENATE('1-Blade sections'!U29,",",'1-Blade sections'!V29,",",'1-Blade sections'!$A$16*1000)</f>
        <v>-87,9026064173314,-23,7872553828356,112,5</v>
      </c>
      <c r="D19" s="5" t="str">
        <f>CONCATENATE('1-Blade sections'!X29,",",'1-Blade sections'!Y29,",",'1-Blade sections'!$A$17*1000)</f>
        <v>-74,8389868949683,-12,1816560671011,157,5</v>
      </c>
      <c r="E19" s="12" t="str">
        <f>CONCATENATE('1-Blade sections'!AA29,",",'1-Blade sections'!AB29,",",'1-Blade sections'!$A$18*1000)</f>
        <v>-63,1389010660907,-6,01033787693666,202,5</v>
      </c>
      <c r="F19" s="11" t="str">
        <f>CONCATENATE('1-Blade sections'!AD29,",",'1-Blade sections'!AE29,",",'1-Blade sections'!$A$19*1000)</f>
        <v>-53,9241642497914,-2,66042865204127,247,5</v>
      </c>
      <c r="G19" s="5" t="str">
        <f>CONCATENATE('1-Blade sections'!AG29,",",'1-Blade sections'!AH29,",",'1-Blade sections'!$A$20*1000)</f>
        <v>-46,7772953816462,-0,764205118597429,292,5</v>
      </c>
      <c r="H19" s="4" t="str">
        <f>CONCATENATE('1-Blade sections'!AJ29,",",'1-Blade sections'!AK29,",",'1-Blade sections'!$A$21*1000)</f>
        <v>-41,171661431209,0,349381070578326,337,5</v>
      </c>
      <c r="I19" s="19" t="str">
        <f>CONCATENATE('1-Blade sections'!AM29,",",'1-Blade sections'!AN29,",",'1-Blade sections'!$A$22*1000)</f>
        <v>-36,6974719103525,1,02052280948385,382,5</v>
      </c>
      <c r="J19" s="5" t="str">
        <f>CONCATENATE('1-Blade sections'!AP29,",",'1-Blade sections'!AQ29,",",'1-Blade sections'!$A$23*1000)</f>
        <v>-33,0621610011081,1,43041784086317,427,5</v>
      </c>
      <c r="K19" s="29" t="str">
        <f>CONCATENATE('1-Blade sections'!AS29,",",'1-Blade sections'!AT29,",",'1-Blade sections'!$A$24*1000)</f>
        <v>-33,0621610011081,1,43041784086317,450</v>
      </c>
      <c r="L19" s="5" t="str">
        <f>CONCATENATE('1-Blade sections'!AV29,",",'1-Blade sections'!AW29,",",'1-Blade sections'!$A$25*1000)</f>
        <v>0,0,0</v>
      </c>
      <c r="M19" s="5" t="str">
        <f>CONCATENATE('1-Blade sections'!AY29,",",'1-Blade sections'!AZ29,",",'1-Blade sections'!$A$26*1000)</f>
        <v>0,0,0</v>
      </c>
      <c r="N19" s="5" t="str">
        <f>CONCATENATE('1-Blade sections'!BB29,",",'1-Blade sections'!BC29,",",'1-Blade sections'!$A$27*1000)</f>
        <v>0,0,0</v>
      </c>
      <c r="O19" s="5" t="str">
        <f>CONCATENATE('1-Blade sections'!BE29,",",'1-Blade sections'!BF29,",",'1-Blade sections'!$A$28*1000)</f>
        <v>0,0,0</v>
      </c>
      <c r="P19" s="5" t="str">
        <f>CONCATENATE('1-Blade sections'!BH29,",",'1-Blade sections'!BI29,",",'1-Blade sections'!$A$29*1000)</f>
        <v>0,0,0</v>
      </c>
      <c r="Q19" s="5" t="str">
        <f>CONCATENATE('1-Blade sections'!BK29,",",'1-Blade sections'!BL29,",",'1-Blade sections'!$A$30*1000)</f>
        <v>0,0,0</v>
      </c>
      <c r="R19" s="5" t="str">
        <f>CONCATENATE('1-Blade sections'!BN29,",",'1-Blade sections'!BO29,",",'1-Blade sections'!$A$31*1000)</f>
        <v>0,0,0</v>
      </c>
      <c r="S19" s="5" t="str">
        <f>CONCATENATE('1-Blade sections'!BQ29,",",'1-Blade sections'!BR29,",",'1-Blade sections'!$A$32*1000)</f>
        <v>0,0,0</v>
      </c>
      <c r="T19" s="12" t="str">
        <f>CONCATENATE('1-Blade sections'!BT29,",",'1-Blade sections'!BU29,",",'1-Blade sections'!$A$33*1000)</f>
        <v>0,0,0</v>
      </c>
    </row>
    <row r="20" spans="1:20" x14ac:dyDescent="0.2">
      <c r="A20" s="5" t="str">
        <f>CONCATENATE('1-Blade sections'!O30,",",'1-Blade sections'!P30,",",'1-Blade sections'!$A$14*1000)</f>
        <v>-23,97072,0,83712,30</v>
      </c>
      <c r="B20" s="5" t="str">
        <f>CONCATENATE('1-Blade sections'!R30,",",'1-Blade sections'!S30,",",'1-Blade sections'!$A$15*1000)</f>
        <v>-93,8228484237523,-46,1906673668649,67,5</v>
      </c>
      <c r="C20" s="5" t="str">
        <f>CONCATENATE('1-Blade sections'!U30,",",'1-Blade sections'!V30,",",'1-Blade sections'!$A$16*1000)</f>
        <v>-89,4079782527307,-26,587052382624,112,5</v>
      </c>
      <c r="D20" s="4" t="str">
        <f>CONCATENATE('1-Blade sections'!X30,",",'1-Blade sections'!Y30,",",'1-Blade sections'!$A$17*1000)</f>
        <v>-76,3253032303301,-14,3717675384804,157,5</v>
      </c>
      <c r="E20" s="11" t="str">
        <f>CONCATENATE('1-Blade sections'!AA30,",",'1-Blade sections'!AB30,",",'1-Blade sections'!$A$18*1000)</f>
        <v>-64,5010584154266,-7,75570039403087,202,5</v>
      </c>
      <c r="F20" s="11" t="str">
        <f>CONCATENATE('1-Blade sections'!AD30,",",'1-Blade sections'!AE30,",",'1-Blade sections'!$A$19*1000)</f>
        <v>-55,1502310367931,-4,09175007690757,247,5</v>
      </c>
      <c r="G20" s="5" t="str">
        <f>CONCATENATE('1-Blade sections'!AG30,",",'1-Blade sections'!AH30,",",'1-Blade sections'!$A$20*1000)</f>
        <v>-47,8800105923816,-1,96879711095246,292,5</v>
      </c>
      <c r="H20" s="4" t="str">
        <f>CONCATENATE('1-Blade sections'!AJ30,",",'1-Blade sections'!AK30,",",'1-Blade sections'!$A$21*1000)</f>
        <v>-42,1681487757855,-0,686340741178742,337,5</v>
      </c>
      <c r="I20" s="19" t="str">
        <f>CONCATENATE('1-Blade sections'!AM30,",",'1-Blade sections'!AN30,",",'1-Blade sections'!$A$22*1000)</f>
        <v>-37,6036522361062,0,114364666119234,382,5</v>
      </c>
      <c r="J20" s="5" t="str">
        <f>CONCATENATE('1-Blade sections'!AP30,",",'1-Blade sections'!AQ30,",",'1-Blade sections'!$A$23*1000)</f>
        <v>-33,8915322054741,0,626282825048949,427,5</v>
      </c>
      <c r="K20" s="29" t="str">
        <f>CONCATENATE('1-Blade sections'!AS30,",",'1-Blade sections'!AT30,",",'1-Blade sections'!$A$24*1000)</f>
        <v>-33,8915322054741,0,626282825048949,450</v>
      </c>
      <c r="L20" s="5" t="str">
        <f>CONCATENATE('1-Blade sections'!AV30,",",'1-Blade sections'!AW30,",",'1-Blade sections'!$A$25*1000)</f>
        <v>0,0,0</v>
      </c>
      <c r="M20" s="5" t="str">
        <f>CONCATENATE('1-Blade sections'!AY30,",",'1-Blade sections'!AZ30,",",'1-Blade sections'!$A$26*1000)</f>
        <v>0,0,0</v>
      </c>
      <c r="N20" s="5" t="str">
        <f>CONCATENATE('1-Blade sections'!BB30,",",'1-Blade sections'!BC30,",",'1-Blade sections'!$A$27*1000)</f>
        <v>0,0,0</v>
      </c>
      <c r="O20" s="5" t="str">
        <f>CONCATENATE('1-Blade sections'!BE30,",",'1-Blade sections'!BF30,",",'1-Blade sections'!$A$28*1000)</f>
        <v>0,0,0</v>
      </c>
      <c r="P20" s="5" t="str">
        <f>CONCATENATE('1-Blade sections'!BH30,",",'1-Blade sections'!BI30,",",'1-Blade sections'!$A$29*1000)</f>
        <v>0,0,0</v>
      </c>
      <c r="Q20" s="5" t="str">
        <f>CONCATENATE('1-Blade sections'!BK30,",",'1-Blade sections'!BL30,",",'1-Blade sections'!$A$30*1000)</f>
        <v>0,0,0</v>
      </c>
      <c r="R20" s="5" t="str">
        <f>CONCATENATE('1-Blade sections'!BN30,",",'1-Blade sections'!BO30,",",'1-Blade sections'!$A$31*1000)</f>
        <v>0,0,0</v>
      </c>
      <c r="S20" s="5" t="str">
        <f>CONCATENATE('1-Blade sections'!BQ30,",",'1-Blade sections'!BR30,",",'1-Blade sections'!$A$32*1000)</f>
        <v>0,0,0</v>
      </c>
      <c r="T20" s="12" t="str">
        <f>CONCATENATE('1-Blade sections'!BT30,",",'1-Blade sections'!BU30,",",'1-Blade sections'!$A$33*1000)</f>
        <v>0,0,0</v>
      </c>
    </row>
    <row r="21" spans="1:20" x14ac:dyDescent="0.2">
      <c r="A21" s="5" t="str">
        <f>CONCATENATE('1-Blade sections'!O31,",",'1-Blade sections'!P31,",",'1-Blade sections'!$A$14*1000)</f>
        <v>-23,85024,-3,76176,30</v>
      </c>
      <c r="B21" s="5" t="str">
        <f>CONCATENATE('1-Blade sections'!R31,",",'1-Blade sections'!S31,",",'1-Blade sections'!$A$15*1000)</f>
        <v>-92,5604968161092,-53,7186957094905,67,5</v>
      </c>
      <c r="C21" s="5" t="str">
        <f>CONCATENATE('1-Blade sections'!U31,",",'1-Blade sections'!V31,",",'1-Blade sections'!$A$16*1000)</f>
        <v>-89,4236493137445,-33,3954123929072,112,5</v>
      </c>
      <c r="D21" s="5" t="str">
        <f>CONCATENATE('1-Blade sections'!X31,",",'1-Blade sections'!Y31,",",'1-Blade sections'!$A$17*1000)</f>
        <v>-76,9207165288909,-20,009352555213,157,5</v>
      </c>
      <c r="E21" s="12" t="str">
        <f>CONCATENATE('1-Blade sections'!AA31,",",'1-Blade sections'!AB31,",",'1-Blade sections'!$A$18*1000)</f>
        <v>-65,3111294386667,-12,4278848480991,202,5</v>
      </c>
      <c r="F21" s="11" t="str">
        <f>CONCATENATE('1-Blade sections'!AD31,",",'1-Blade sections'!AE31,",",'1-Blade sections'!$A$19*1000)</f>
        <v>-56,0204199422965,-8,03335571979915,247,5</v>
      </c>
      <c r="G21" s="5" t="str">
        <f>CONCATENATE('1-Blade sections'!AG31,",",'1-Blade sections'!AH31,",",'1-Blade sections'!$A$20*1000)</f>
        <v>-48,7462001766637,-5,35759731222435,292,5</v>
      </c>
      <c r="H21" s="4" t="str">
        <f>CONCATENATE('1-Blade sections'!AJ31,",",'1-Blade sections'!AK31,",",'1-Blade sections'!$A$21*1000)</f>
        <v>-43,0042479306838,-3,64890948133393,337,5</v>
      </c>
      <c r="I21" s="19" t="str">
        <f>CONCATENATE('1-Blade sections'!AM31,",",'1-Blade sections'!AN31,",",'1-Blade sections'!$A$22*1000)</f>
        <v>-38,4000347336314,-2,51229070983723,382,5</v>
      </c>
      <c r="J21" s="5" t="str">
        <f>CONCATENATE('1-Blade sections'!AP31,",",'1-Blade sections'!AQ31,",",'1-Blade sections'!$A$23*1000)</f>
        <v>-34,6458781991198,-1,73010757442299,427,5</v>
      </c>
      <c r="K21" s="29" t="str">
        <f>CONCATENATE('1-Blade sections'!AS31,",",'1-Blade sections'!AT31,",",'1-Blade sections'!$A$24*1000)</f>
        <v>-34,6458781991198,-1,73010757442299,450</v>
      </c>
      <c r="L21" s="5" t="str">
        <f>CONCATENATE('1-Blade sections'!AV31,",",'1-Blade sections'!AW31,",",'1-Blade sections'!$A$25*1000)</f>
        <v>0,0,0</v>
      </c>
      <c r="M21" s="5" t="str">
        <f>CONCATENATE('1-Blade sections'!AY31,",",'1-Blade sections'!AZ31,",",'1-Blade sections'!$A$26*1000)</f>
        <v>0,0,0</v>
      </c>
      <c r="N21" s="5" t="str">
        <f>CONCATENATE('1-Blade sections'!BB31,",",'1-Blade sections'!BC31,",",'1-Blade sections'!$A$27*1000)</f>
        <v>0,0,0</v>
      </c>
      <c r="O21" s="5" t="str">
        <f>CONCATENATE('1-Blade sections'!BE31,",",'1-Blade sections'!BF31,",",'1-Blade sections'!$A$28*1000)</f>
        <v>0,0,0</v>
      </c>
      <c r="P21" s="5" t="str">
        <f>CONCATENATE('1-Blade sections'!BH31,",",'1-Blade sections'!BI31,",",'1-Blade sections'!$A$29*1000)</f>
        <v>0,0,0</v>
      </c>
      <c r="Q21" s="5" t="str">
        <f>CONCATENATE('1-Blade sections'!BK31,",",'1-Blade sections'!BL31,",",'1-Blade sections'!$A$30*1000)</f>
        <v>0,0,0</v>
      </c>
      <c r="R21" s="5" t="str">
        <f>CONCATENATE('1-Blade sections'!BN31,",",'1-Blade sections'!BO31,",",'1-Blade sections'!$A$31*1000)</f>
        <v>0,0,0</v>
      </c>
      <c r="S21" s="5" t="str">
        <f>CONCATENATE('1-Blade sections'!BQ31,",",'1-Blade sections'!BR31,",",'1-Blade sections'!$A$32*1000)</f>
        <v>0,0,0</v>
      </c>
      <c r="T21" s="12" t="str">
        <f>CONCATENATE('1-Blade sections'!BT31,",",'1-Blade sections'!BU31,",",'1-Blade sections'!$A$33*1000)</f>
        <v>0,0,0</v>
      </c>
    </row>
    <row r="22" spans="1:20" x14ac:dyDescent="0.2">
      <c r="A22" s="5" t="str">
        <f>CONCATENATE('1-Blade sections'!O32,",",'1-Blade sections'!P32,",",'1-Blade sections'!$A$14*1000)</f>
        <v>-22,85472,-8,2536,30</v>
      </c>
      <c r="B22" s="5" t="str">
        <f>CONCATENATE('1-Blade sections'!R32,",",'1-Blade sections'!S32,",",'1-Blade sections'!$A$15*1000)</f>
        <v>-88,5943713545901,-55,2329374194278,67,5</v>
      </c>
      <c r="C22" s="5" t="str">
        <f>CONCATENATE('1-Blade sections'!U32,",",'1-Blade sections'!V32,",",'1-Blade sections'!$A$16*1000)</f>
        <v>-86,1625587085338,-35,3199932269162,112,5</v>
      </c>
      <c r="D22" s="4" t="str">
        <f>CONCATENATE('1-Blade sections'!X32,",",'1-Blade sections'!Y32,",",'1-Blade sections'!$A$17*1000)</f>
        <v>-74,384407328728,-21,8823349051427,157,5</v>
      </c>
      <c r="E22" s="11" t="str">
        <f>CONCATENATE('1-Blade sections'!AA32,",",'1-Blade sections'!AB32,",",'1-Blade sections'!$A$18*1000)</f>
        <v>-63,2982989192896,-14,1319910424386,202,5</v>
      </c>
      <c r="F22" s="11" t="str">
        <f>CONCATENATE('1-Blade sections'!AD32,",",'1-Blade sections'!AE32,",",'1-Blade sections'!$A$19*1000)</f>
        <v>-54,3749256521006,-9,56058355189122,247,5</v>
      </c>
      <c r="G22" s="5" t="str">
        <f>CONCATENATE('1-Blade sections'!AG32,",",'1-Blade sections'!AH32,",",'1-Blade sections'!$A$20*1000)</f>
        <v>-47,3647226204653,-6,7272507089499,292,5</v>
      </c>
      <c r="H22" s="4" t="str">
        <f>CONCATENATE('1-Blade sections'!AJ32,",",'1-Blade sections'!AK32,",",'1-Blade sections'!$A$21*1000)</f>
        <v>-41,818731648272,-4,8841144066175,337,5</v>
      </c>
      <c r="I22" s="19" t="str">
        <f>CONCATENATE('1-Blade sections'!AM32,",",'1-Blade sections'!AN32,",",'1-Blade sections'!$A$22*1000)</f>
        <v>-37,3644498246083,-3,63386144774159,382,5</v>
      </c>
      <c r="J22" s="5" t="str">
        <f>CONCATENATE('1-Blade sections'!AP32,",",'1-Blade sections'!AQ32,",",'1-Blade sections'!$A$23*1000)</f>
        <v>-33,7280844249763,-2,75541640363394,427,5</v>
      </c>
      <c r="K22" s="29" t="str">
        <f>CONCATENATE('1-Blade sections'!AS32,",",'1-Blade sections'!AT32,",",'1-Blade sections'!$A$24*1000)</f>
        <v>-33,7280844249763,-2,75541640363394,450</v>
      </c>
      <c r="L22" s="5" t="str">
        <f>CONCATENATE('1-Blade sections'!AV32,",",'1-Blade sections'!AW32,",",'1-Blade sections'!$A$25*1000)</f>
        <v>0,0,0</v>
      </c>
      <c r="M22" s="5" t="str">
        <f>CONCATENATE('1-Blade sections'!AY32,",",'1-Blade sections'!AZ32,",",'1-Blade sections'!$A$26*1000)</f>
        <v>0,0,0</v>
      </c>
      <c r="N22" s="5" t="str">
        <f>CONCATENATE('1-Blade sections'!BB32,",",'1-Blade sections'!BC32,",",'1-Blade sections'!$A$27*1000)</f>
        <v>0,0,0</v>
      </c>
      <c r="O22" s="5" t="str">
        <f>CONCATENATE('1-Blade sections'!BE32,",",'1-Blade sections'!BF32,",",'1-Blade sections'!$A$28*1000)</f>
        <v>0,0,0</v>
      </c>
      <c r="P22" s="5" t="str">
        <f>CONCATENATE('1-Blade sections'!BH32,",",'1-Blade sections'!BI32,",",'1-Blade sections'!$A$29*1000)</f>
        <v>0,0,0</v>
      </c>
      <c r="Q22" s="5" t="str">
        <f>CONCATENATE('1-Blade sections'!BK32,",",'1-Blade sections'!BL32,",",'1-Blade sections'!$A$30*1000)</f>
        <v>0,0,0</v>
      </c>
      <c r="R22" s="5" t="str">
        <f>CONCATENATE('1-Blade sections'!BN32,",",'1-Blade sections'!BO32,",",'1-Blade sections'!$A$31*1000)</f>
        <v>0,0,0</v>
      </c>
      <c r="S22" s="5" t="str">
        <f>CONCATENATE('1-Blade sections'!BQ32,",",'1-Blade sections'!BR32,",",'1-Blade sections'!$A$32*1000)</f>
        <v>0,0,0</v>
      </c>
      <c r="T22" s="12" t="str">
        <f>CONCATENATE('1-Blade sections'!BT32,",",'1-Blade sections'!BU32,",",'1-Blade sections'!$A$33*1000)</f>
        <v>0,0,0</v>
      </c>
    </row>
    <row r="23" spans="1:20" x14ac:dyDescent="0.2">
      <c r="A23" s="5" t="str">
        <f>CONCATENATE('1-Blade sections'!O33,",",'1-Blade sections'!P33,",",'1-Blade sections'!$A$14*1000)</f>
        <v>-21,02016,-12,47232,30</v>
      </c>
      <c r="B23" s="5" t="str">
        <f>CONCATENATE('1-Blade sections'!R33,",",'1-Blade sections'!S33,",",'1-Blade sections'!$A$15*1000)</f>
        <v>-85,5175155585227,-55,209252050753,67,5</v>
      </c>
      <c r="C23" s="5" t="str">
        <f>CONCATENATE('1-Blade sections'!U33,",",'1-Blade sections'!V33,",",'1-Blade sections'!$A$16*1000)</f>
        <v>-83,453455443832,-35,7592583025722,112,5</v>
      </c>
      <c r="D23" s="5" t="str">
        <f>CONCATENATE('1-Blade sections'!X33,",",'1-Blade sections'!Y33,",",'1-Blade sections'!$A$17*1000)</f>
        <v>-72,1782095216654,-22,477905182464,157,5</v>
      </c>
      <c r="E23" s="12" t="str">
        <f>CONCATENATE('1-Blade sections'!AA33,",",'1-Blade sections'!AB33,",",'1-Blade sections'!$A$18*1000)</f>
        <v>-61,4900361010996,-14,7516051797743,202,5</v>
      </c>
      <c r="F23" s="11" t="str">
        <f>CONCATENATE('1-Blade sections'!AD33,",",'1-Blade sections'!AE33,",",'1-Blade sections'!$A$19*1000)</f>
        <v>-52,8612968269242,-10,1576614281971,247,5</v>
      </c>
      <c r="G23" s="5" t="str">
        <f>CONCATENATE('1-Blade sections'!AG33,",",'1-Blade sections'!AH33,",",'1-Blade sections'!$A$20*1000)</f>
        <v>-46,0708862562118,-7,28757695683572,292,5</v>
      </c>
      <c r="H23" s="4" t="str">
        <f>CONCATENATE('1-Blade sections'!AJ33,",",'1-Blade sections'!AK33,",",'1-Blade sections'!$A$21*1000)</f>
        <v>-40,6926449182858,-5,40535372896784,337,5</v>
      </c>
      <c r="I23" s="19" t="str">
        <f>CONCATENATE('1-Blade sections'!AM33,",",'1-Blade sections'!AN33,",",'1-Blade sections'!$A$22*1000)</f>
        <v>-36,3695489322948,-4,11792651464092,382,5</v>
      </c>
      <c r="J23" s="5" t="str">
        <f>CONCATENATE('1-Blade sections'!AP33,",",'1-Blade sections'!AQ33,",",'1-Blade sections'!$A$23*1000)</f>
        <v>-32,8380901708765,-3,20555917550742,427,5</v>
      </c>
      <c r="K23" s="29" t="str">
        <f>CONCATENATE('1-Blade sections'!AS33,",",'1-Blade sections'!AT33,",",'1-Blade sections'!$A$24*1000)</f>
        <v>-32,8380901708765,-3,20555917550742,450</v>
      </c>
      <c r="L23" s="5" t="str">
        <f>CONCATENATE('1-Blade sections'!AV33,",",'1-Blade sections'!AW33,",",'1-Blade sections'!$A$25*1000)</f>
        <v>0,0,0</v>
      </c>
      <c r="M23" s="5" t="str">
        <f>CONCATENATE('1-Blade sections'!AY33,",",'1-Blade sections'!AZ33,",",'1-Blade sections'!$A$26*1000)</f>
        <v>0,0,0</v>
      </c>
      <c r="N23" s="5" t="str">
        <f>CONCATENATE('1-Blade sections'!BB33,",",'1-Blade sections'!BC33,",",'1-Blade sections'!$A$27*1000)</f>
        <v>0,0,0</v>
      </c>
      <c r="O23" s="5" t="str">
        <f>CONCATENATE('1-Blade sections'!BE33,",",'1-Blade sections'!BF33,",",'1-Blade sections'!$A$28*1000)</f>
        <v>0,0,0</v>
      </c>
      <c r="P23" s="5" t="str">
        <f>CONCATENATE('1-Blade sections'!BH33,",",'1-Blade sections'!BI33,",",'1-Blade sections'!$A$29*1000)</f>
        <v>0,0,0</v>
      </c>
      <c r="Q23" s="5" t="str">
        <f>CONCATENATE('1-Blade sections'!BK33,",",'1-Blade sections'!BL33,",",'1-Blade sections'!$A$30*1000)</f>
        <v>0,0,0</v>
      </c>
      <c r="R23" s="5" t="str">
        <f>CONCATENATE('1-Blade sections'!BN33,",",'1-Blade sections'!BO33,",",'1-Blade sections'!$A$31*1000)</f>
        <v>0,0,0</v>
      </c>
      <c r="S23" s="5" t="str">
        <f>CONCATENATE('1-Blade sections'!BQ33,",",'1-Blade sections'!BR33,",",'1-Blade sections'!$A$32*1000)</f>
        <v>0,0,0</v>
      </c>
      <c r="T23" s="12" t="str">
        <f>CONCATENATE('1-Blade sections'!BT33,",",'1-Blade sections'!BU33,",",'1-Blade sections'!$A$33*1000)</f>
        <v>0,0,0</v>
      </c>
    </row>
    <row r="24" spans="1:20" x14ac:dyDescent="0.2">
      <c r="A24" s="5" t="str">
        <f>CONCATENATE('1-Blade sections'!O34,",",'1-Blade sections'!P34,",",'1-Blade sections'!$A$14*1000)</f>
        <v>-18,41424,-16,26384,30</v>
      </c>
      <c r="B24" s="5" t="str">
        <f>CONCATENATE('1-Blade sections'!R34,",",'1-Blade sections'!S34,",",'1-Blade sections'!$A$15*1000)</f>
        <v>-80,0387917847429,-53,994539073011,67,5</v>
      </c>
      <c r="C24" s="5" t="str">
        <f>CONCATENATE('1-Blade sections'!U34,",",'1-Blade sections'!V34,",",'1-Blade sections'!$A$16*1000)</f>
        <v>-78,4542272572242,-35,5103801071826,112,5</v>
      </c>
      <c r="D24" s="4" t="str">
        <f>CONCATENATE('1-Blade sections'!X34,",",'1-Blade sections'!Y34,",",'1-Blade sections'!$A$17*1000)</f>
        <v>-68,0163803866405,-22,6994438024758,157,5</v>
      </c>
      <c r="E24" s="11" t="str">
        <f>CONCATENATE('1-Blade sections'!AA34,",",'1-Blade sections'!AB34,",",'1-Blade sections'!$A$18*1000)</f>
        <v>-58,0287847439342,-15,1676647846717,202,5</v>
      </c>
      <c r="F24" s="11" t="str">
        <f>CONCATENATE('1-Blade sections'!AD34,",",'1-Blade sections'!AE34,",",'1-Blade sections'!$A$19*1000)</f>
        <v>-49,9341298307426,-10,6457997444894,247,5</v>
      </c>
      <c r="G24" s="5" t="str">
        <f>CONCATENATE('1-Blade sections'!AG34,",",'1-Blade sections'!AH34,",",'1-Blade sections'!$A$20*1000)</f>
        <v>-43,5497363601447,-7,7939208938495,292,5</v>
      </c>
      <c r="H24" s="4" t="str">
        <f>CONCATENATE('1-Blade sections'!AJ34,",",'1-Blade sections'!AK34,",",'1-Blade sections'!$A$21*1000)</f>
        <v>-38,4855806366602,-5,90590667505655,337,5</v>
      </c>
      <c r="I24" s="19" t="str">
        <f>CONCATENATE('1-Blade sections'!AM34,",",'1-Blade sections'!AN34,",",'1-Blade sections'!$A$22*1000)</f>
        <v>-34,4106277868573,-4,60216680177314,382,5</v>
      </c>
      <c r="J24" s="5" t="str">
        <f>CONCATENATE('1-Blade sections'!AP34,",",'1-Blade sections'!AQ34,",",'1-Blade sections'!$A$23*1000)</f>
        <v>-31,079202503192,-3,66927289260066,427,5</v>
      </c>
      <c r="K24" s="29" t="str">
        <f>CONCATENATE('1-Blade sections'!AS34,",",'1-Blade sections'!AT34,",",'1-Blade sections'!$A$24*1000)</f>
        <v>-31,079202503192,-3,66927289260066,450</v>
      </c>
      <c r="L24" s="5" t="str">
        <f>CONCATENATE('1-Blade sections'!AV34,",",'1-Blade sections'!AW34,",",'1-Blade sections'!$A$25*1000)</f>
        <v>0,0,0</v>
      </c>
      <c r="M24" s="5" t="str">
        <f>CONCATENATE('1-Blade sections'!AY34,",",'1-Blade sections'!AZ34,",",'1-Blade sections'!$A$26*1000)</f>
        <v>0,0,0</v>
      </c>
      <c r="N24" s="5" t="str">
        <f>CONCATENATE('1-Blade sections'!BB34,",",'1-Blade sections'!BC34,",",'1-Blade sections'!$A$27*1000)</f>
        <v>0,0,0</v>
      </c>
      <c r="O24" s="5" t="str">
        <f>CONCATENATE('1-Blade sections'!BE34,",",'1-Blade sections'!BF34,",",'1-Blade sections'!$A$28*1000)</f>
        <v>0,0,0</v>
      </c>
      <c r="P24" s="5" t="str">
        <f>CONCATENATE('1-Blade sections'!BH34,",",'1-Blade sections'!BI34,",",'1-Blade sections'!$A$29*1000)</f>
        <v>0,0,0</v>
      </c>
      <c r="Q24" s="5" t="str">
        <f>CONCATENATE('1-Blade sections'!BK34,",",'1-Blade sections'!BL34,",",'1-Blade sections'!$A$30*1000)</f>
        <v>0,0,0</v>
      </c>
      <c r="R24" s="5" t="str">
        <f>CONCATENATE('1-Blade sections'!BN34,",",'1-Blade sections'!BO34,",",'1-Blade sections'!$A$31*1000)</f>
        <v>0,0,0</v>
      </c>
      <c r="S24" s="5" t="str">
        <f>CONCATENATE('1-Blade sections'!BQ34,",",'1-Blade sections'!BR34,",",'1-Blade sections'!$A$32*1000)</f>
        <v>0,0,0</v>
      </c>
      <c r="T24" s="12" t="str">
        <f>CONCATENATE('1-Blade sections'!BT34,",",'1-Blade sections'!BU34,",",'1-Blade sections'!$A$33*1000)</f>
        <v>0,0,0</v>
      </c>
    </row>
    <row r="25" spans="1:20" x14ac:dyDescent="0.2">
      <c r="A25" s="5" t="str">
        <f>CONCATENATE('1-Blade sections'!O35,",",'1-Blade sections'!P35,",",'1-Blade sections'!$A$14*1000)</f>
        <v>-15,13296,-19,48848,30</v>
      </c>
      <c r="B25" s="5" t="str">
        <f>CONCATENATE('1-Blade sections'!R35,",",'1-Blade sections'!S35,",",'1-Blade sections'!$A$15*1000)</f>
        <v>-74,7957780427696,-52,3721827732273,67,5</v>
      </c>
      <c r="C25" s="5" t="str">
        <f>CONCATENATE('1-Blade sections'!U35,",",'1-Blade sections'!V35,",",'1-Blade sections'!$A$16*1000)</f>
        <v>-73,6013089681007,-34,8678037589765,112,5</v>
      </c>
      <c r="D25" s="5" t="str">
        <f>CONCATENATE('1-Blade sections'!X35,",",'1-Blade sections'!Y35,",",'1-Blade sections'!$A$17*1000)</f>
        <v>-63,9420506570157,-22,5823912707119,157,5</v>
      </c>
      <c r="E25" s="12" t="str">
        <f>CONCATENATE('1-Blade sections'!AA35,",",'1-Blade sections'!AB35,",",'1-Blade sections'!$A$18*1000)</f>
        <v>-54,6217561509388,-15,2962686636163,202,5</v>
      </c>
      <c r="F25" s="11" t="str">
        <f>CONCATENATE('1-Blade sections'!AD35,",",'1-Blade sections'!AE35,",",'1-Blade sections'!$A$19*1000)</f>
        <v>-47,0419151264938,-10,8873922893684,247,5</v>
      </c>
      <c r="G25" s="5" t="str">
        <f>CONCATENATE('1-Blade sections'!AG35,",",'1-Blade sections'!AH35,",",'1-Blade sections'!$A$20*1000)</f>
        <v>-41,0518166595328,-8,08574438177323,292,5</v>
      </c>
      <c r="H25" s="4" t="str">
        <f>CONCATENATE('1-Blade sections'!AJ35,",",'1-Blade sections'!AK35,",",'1-Blade sections'!$A$21*1000)</f>
        <v>-36,294268766521,-6,21721572639187,337,5</v>
      </c>
      <c r="I25" s="19" t="str">
        <f>CONCATENATE('1-Blade sections'!AM35,",",'1-Blade sections'!AN35,",",'1-Blade sections'!$A$22*1000)</f>
        <v>-32,4624903566921,-4,91742968213294,382,5</v>
      </c>
      <c r="J25" s="5" t="str">
        <f>CONCATENATE('1-Blade sections'!AP35,",",'1-Blade sections'!AQ35,",",'1-Blade sections'!$A$23*1000)</f>
        <v>-29,3276833829889,-3,9805329559418,427,5</v>
      </c>
      <c r="K25" s="29" t="str">
        <f>CONCATENATE('1-Blade sections'!AS35,",",'1-Blade sections'!AT35,",",'1-Blade sections'!$A$24*1000)</f>
        <v>-29,3276833829889,-3,9805329559418,450</v>
      </c>
      <c r="L25" s="5" t="str">
        <f>CONCATENATE('1-Blade sections'!AV35,",",'1-Blade sections'!AW35,",",'1-Blade sections'!$A$25*1000)</f>
        <v>0,0,0</v>
      </c>
      <c r="M25" s="5" t="str">
        <f>CONCATENATE('1-Blade sections'!AY35,",",'1-Blade sections'!AZ35,",",'1-Blade sections'!$A$26*1000)</f>
        <v>0,0,0</v>
      </c>
      <c r="N25" s="5" t="str">
        <f>CONCATENATE('1-Blade sections'!BB35,",",'1-Blade sections'!BC35,",",'1-Blade sections'!$A$27*1000)</f>
        <v>0,0,0</v>
      </c>
      <c r="O25" s="5" t="str">
        <f>CONCATENATE('1-Blade sections'!BE35,",",'1-Blade sections'!BF35,",",'1-Blade sections'!$A$28*1000)</f>
        <v>0,0,0</v>
      </c>
      <c r="P25" s="5" t="str">
        <f>CONCATENATE('1-Blade sections'!BH35,",",'1-Blade sections'!BI35,",",'1-Blade sections'!$A$29*1000)</f>
        <v>0,0,0</v>
      </c>
      <c r="Q25" s="5" t="str">
        <f>CONCATENATE('1-Blade sections'!BK35,",",'1-Blade sections'!BL35,",",'1-Blade sections'!$A$30*1000)</f>
        <v>0,0,0</v>
      </c>
      <c r="R25" s="5" t="str">
        <f>CONCATENATE('1-Blade sections'!BN35,",",'1-Blade sections'!BO35,",",'1-Blade sections'!$A$31*1000)</f>
        <v>0,0,0</v>
      </c>
      <c r="S25" s="5" t="str">
        <f>CONCATENATE('1-Blade sections'!BQ35,",",'1-Blade sections'!BR35,",",'1-Blade sections'!$A$32*1000)</f>
        <v>0,0,0</v>
      </c>
      <c r="T25" s="12" t="str">
        <f>CONCATENATE('1-Blade sections'!BT35,",",'1-Blade sections'!BU35,",",'1-Blade sections'!$A$33*1000)</f>
        <v>0,0,0</v>
      </c>
    </row>
    <row r="26" spans="1:20" x14ac:dyDescent="0.2">
      <c r="A26" s="5" t="str">
        <f>CONCATENATE('1-Blade sections'!O36,",",'1-Blade sections'!P36,",",'1-Blade sections'!$A$14*1000)</f>
        <v>-11,2968,-22,02768,30</v>
      </c>
      <c r="B26" s="5" t="str">
        <f>CONCATENATE('1-Blade sections'!R36,",",'1-Blade sections'!S36,",",'1-Blade sections'!$A$15*1000)</f>
        <v>-69,6491911319899,-50,5830632962447,67,5</v>
      </c>
      <c r="C26" s="5" t="str">
        <f>CONCATENATE('1-Blade sections'!U36,",",'1-Blade sections'!V36,",",'1-Blade sections'!$A$16*1000)</f>
        <v>-68,808244727948,-34,0641690755274,112,5</v>
      </c>
      <c r="D26" s="4" t="str">
        <f>CONCATENATE('1-Blade sections'!X36,",",'1-Blade sections'!Y36,",",'1-Blade sections'!$A$17*1000)</f>
        <v>-59,903516138691,-22,326824176858,157,5</v>
      </c>
      <c r="E26" s="11" t="str">
        <f>CONCATENATE('1-Blade sections'!AA36,",",'1-Blade sections'!AB36,",",'1-Blade sections'!$A$18*1000)</f>
        <v>-51,2369095978312,-15,3072770183076,202,5</v>
      </c>
      <c r="F26" s="11" t="str">
        <f>CONCATENATE('1-Blade sections'!AD36,",",'1-Blade sections'!AE36,",",'1-Blade sections'!$A$19*1000)</f>
        <v>-44,1639990871267,-11,0281252004874,247,5</v>
      </c>
      <c r="G26" s="5" t="str">
        <f>CONCATENATE('1-Blade sections'!AG36,",",'1-Blade sections'!AH36,",",'1-Blade sections'!$A$20*1000)</f>
        <v>-38,5634002206981,-8,28980950416011,292,5</v>
      </c>
      <c r="H26" s="4" t="str">
        <f>CONCATENATE('1-Blade sections'!AJ36,",",'1-Blade sections'!AK36,",",'1-Blade sections'!$A$21*1000)</f>
        <v>-34,109401064717,-6,45110682078262,337,5</v>
      </c>
      <c r="I26" s="19" t="str">
        <f>CONCATENATE('1-Blade sections'!AM36,",",'1-Blade sections'!AN36,",",'1-Blade sections'!$A$22*1000)</f>
        <v>-30,5187644464112,-5,16356544154039,382,5</v>
      </c>
      <c r="J26" s="5" t="str">
        <f>CONCATENATE('1-Blade sections'!AP36,",",'1-Blade sections'!AQ36,",",'1-Blade sections'!$A$23*1000)</f>
        <v>-27,5791786685737,-4,22942561547527,427,5</v>
      </c>
      <c r="K26" s="29" t="str">
        <f>CONCATENATE('1-Blade sections'!AS36,",",'1-Blade sections'!AT36,",",'1-Blade sections'!$A$24*1000)</f>
        <v>-27,5791786685737,-4,22942561547527,450</v>
      </c>
      <c r="L26" s="5" t="str">
        <f>CONCATENATE('1-Blade sections'!AV36,",",'1-Blade sections'!AW36,",",'1-Blade sections'!$A$25*1000)</f>
        <v>0,0,0</v>
      </c>
      <c r="M26" s="5" t="str">
        <f>CONCATENATE('1-Blade sections'!AY36,",",'1-Blade sections'!AZ36,",",'1-Blade sections'!$A$26*1000)</f>
        <v>0,0,0</v>
      </c>
      <c r="N26" s="5" t="str">
        <f>CONCATENATE('1-Blade sections'!BB36,",",'1-Blade sections'!BC36,",",'1-Blade sections'!$A$27*1000)</f>
        <v>0,0,0</v>
      </c>
      <c r="O26" s="5" t="str">
        <f>CONCATENATE('1-Blade sections'!BE36,",",'1-Blade sections'!BF36,",",'1-Blade sections'!$A$28*1000)</f>
        <v>0,0,0</v>
      </c>
      <c r="P26" s="5" t="str">
        <f>CONCATENATE('1-Blade sections'!BH36,",",'1-Blade sections'!BI36,",",'1-Blade sections'!$A$29*1000)</f>
        <v>0,0,0</v>
      </c>
      <c r="Q26" s="5" t="str">
        <f>CONCATENATE('1-Blade sections'!BK36,",",'1-Blade sections'!BL36,",",'1-Blade sections'!$A$30*1000)</f>
        <v>0,0,0</v>
      </c>
      <c r="R26" s="5" t="str">
        <f>CONCATENATE('1-Blade sections'!BN36,",",'1-Blade sections'!BO36,",",'1-Blade sections'!$A$31*1000)</f>
        <v>0,0,0</v>
      </c>
      <c r="S26" s="5" t="str">
        <f>CONCATENATE('1-Blade sections'!BQ36,",",'1-Blade sections'!BR36,",",'1-Blade sections'!$A$32*1000)</f>
        <v>0,0,0</v>
      </c>
      <c r="T26" s="12" t="str">
        <f>CONCATENATE('1-Blade sections'!BT36,",",'1-Blade sections'!BU36,",",'1-Blade sections'!$A$33*1000)</f>
        <v>0,0,0</v>
      </c>
    </row>
    <row r="27" spans="1:20" x14ac:dyDescent="0.2">
      <c r="A27" s="5" t="str">
        <f>CONCATENATE('1-Blade sections'!O37,",",'1-Blade sections'!P37,",",'1-Blade sections'!$A$14*1000)</f>
        <v>-7,0464,-23,78832,30</v>
      </c>
      <c r="B27" s="5" t="str">
        <f>CONCATENATE('1-Blade sections'!R37,",",'1-Blade sections'!S37,",",'1-Blade sections'!$A$15*1000)</f>
        <v>-59,581013249882,-46,6157102621486,67,5</v>
      </c>
      <c r="C27" s="5" t="str">
        <f>CONCATENATE('1-Blade sections'!U37,",",'1-Blade sections'!V37,",",'1-Blade sections'!$A$16*1000)</f>
        <v>-59,3617756952413,-32,0810969263951,112,5</v>
      </c>
      <c r="D27" s="5" t="str">
        <f>CONCATENATE('1-Blade sections'!X37,",",'1-Blade sections'!Y37,",",'1-Blade sections'!$A$17*1000)</f>
        <v>-51,9099692617415,-21,4924893442731,157,5</v>
      </c>
      <c r="E27" s="12" t="str">
        <f>CONCATENATE('1-Blade sections'!AA37,",",'1-Blade sections'!AB37,",",'1-Blade sections'!$A$18*1000)</f>
        <v>-44,5189745846875,-15,0549041710987,202,5</v>
      </c>
      <c r="F27" s="11" t="str">
        <f>CONCATENATE('1-Blade sections'!AD37,",",'1-Blade sections'!AE37,",",'1-Blade sections'!$A$19*1000)</f>
        <v>-38,441530559783,-11,0742518772857,247,5</v>
      </c>
      <c r="G27" s="5" t="str">
        <f>CONCATENATE('1-Blade sections'!AG37,",",'1-Blade sections'!AH37,",",'1-Blade sections'!$A$20*1000)</f>
        <v>-33,6087416205086,-8,49317022934794,292,5</v>
      </c>
      <c r="H27" s="4" t="str">
        <f>CONCATENATE('1-Blade sections'!AJ37,",",'1-Blade sections'!AK37,",",'1-Blade sections'!$A$21*1000)</f>
        <v>-29,7547020538914,-6,73824711002681,337,5</v>
      </c>
      <c r="I27" s="19" t="str">
        <f>CONCATENATE('1-Blade sections'!AM37,",",'1-Blade sections'!AN37,",",'1-Blade sections'!$A$22*1000)</f>
        <v>-26,6416061722457,-5,4945403447998,382,5</v>
      </c>
      <c r="J27" s="5" t="str">
        <f>CONCATENATE('1-Blade sections'!AP37,",",'1-Blade sections'!AQ37,",",'1-Blade sections'!$A$23*1000)</f>
        <v>-24,0892028532483,-4,58168699232429,427,5</v>
      </c>
      <c r="K27" s="29" t="str">
        <f>CONCATENATE('1-Blade sections'!AS37,",",'1-Blade sections'!AT37,",",'1-Blade sections'!$A$24*1000)</f>
        <v>-24,0892028532483,-4,58168699232429,450</v>
      </c>
      <c r="L27" s="5" t="str">
        <f>CONCATENATE('1-Blade sections'!AV37,",",'1-Blade sections'!AW37,",",'1-Blade sections'!$A$25*1000)</f>
        <v>0,0,0</v>
      </c>
      <c r="M27" s="5" t="str">
        <f>CONCATENATE('1-Blade sections'!AY37,",",'1-Blade sections'!AZ37,",",'1-Blade sections'!$A$26*1000)</f>
        <v>0,0,0</v>
      </c>
      <c r="N27" s="5" t="str">
        <f>CONCATENATE('1-Blade sections'!BB37,",",'1-Blade sections'!BC37,",",'1-Blade sections'!$A$27*1000)</f>
        <v>0,0,0</v>
      </c>
      <c r="O27" s="5" t="str">
        <f>CONCATENATE('1-Blade sections'!BE37,",",'1-Blade sections'!BF37,",",'1-Blade sections'!$A$28*1000)</f>
        <v>0,0,0</v>
      </c>
      <c r="P27" s="5" t="str">
        <f>CONCATENATE('1-Blade sections'!BH37,",",'1-Blade sections'!BI37,",",'1-Blade sections'!$A$29*1000)</f>
        <v>0,0,0</v>
      </c>
      <c r="Q27" s="5" t="str">
        <f>CONCATENATE('1-Blade sections'!BK37,",",'1-Blade sections'!BL37,",",'1-Blade sections'!$A$30*1000)</f>
        <v>0,0,0</v>
      </c>
      <c r="R27" s="5" t="str">
        <f>CONCATENATE('1-Blade sections'!BN37,",",'1-Blade sections'!BO37,",",'1-Blade sections'!$A$31*1000)</f>
        <v>0,0,0</v>
      </c>
      <c r="S27" s="5" t="str">
        <f>CONCATENATE('1-Blade sections'!BQ37,",",'1-Blade sections'!BR37,",",'1-Blade sections'!$A$32*1000)</f>
        <v>0,0,0</v>
      </c>
      <c r="T27" s="12" t="str">
        <f>CONCATENATE('1-Blade sections'!BT37,",",'1-Blade sections'!BU37,",",'1-Blade sections'!$A$33*1000)</f>
        <v>0,0,0</v>
      </c>
    </row>
    <row r="28" spans="1:20" x14ac:dyDescent="0.2">
      <c r="A28" s="5" t="str">
        <f>CONCATENATE('1-Blade sections'!O38,",",'1-Blade sections'!P38,",",'1-Blade sections'!$A$14*1000)</f>
        <v>-2,53776,-24,7056,30</v>
      </c>
      <c r="B28" s="5" t="str">
        <f>CONCATENATE('1-Blade sections'!R38,",",'1-Blade sections'!S38,",",'1-Blade sections'!$A$15*1000)</f>
        <v>-49,7056890301613,-42,3148308736548,67,5</v>
      </c>
      <c r="C28" s="5" t="str">
        <f>CONCATENATE('1-Blade sections'!U38,",",'1-Blade sections'!V38,",",'1-Blade sections'!$A$16*1000)</f>
        <v>-50,0350147604764,-29,7759081067767,112,5</v>
      </c>
      <c r="D28" s="4" t="str">
        <f>CONCATENATE('1-Blade sections'!X38,",",'1-Blade sections'!Y38,",",'1-Blade sections'!$A$17*1000)</f>
        <v>-43,9880128073922,-20,3811253875082,157,5</v>
      </c>
      <c r="E28" s="11" t="str">
        <f>CONCATENATE('1-Blade sections'!AA38,",",'1-Blade sections'!AB38,",",'1-Blade sections'!$A$18*1000)</f>
        <v>-37,8454036513194,-14,567340275383,202,5</v>
      </c>
      <c r="F28" s="11" t="str">
        <f>CONCATENATE('1-Blade sections'!AD38,",",'1-Blade sections'!AE38,",",'1-Blade sections'!$A$19*1000)</f>
        <v>-32,7476593622025,-10,9186592865641,247,5</v>
      </c>
      <c r="G28" s="5" t="str">
        <f>CONCATENATE('1-Blade sections'!AG38,",",'1-Blade sections'!AH38,",",'1-Blade sections'!$A$20*1000)</f>
        <v>-28,6730895438735,-8,52101422346208,292,5</v>
      </c>
      <c r="H28" s="4" t="str">
        <f>CONCATENATE('1-Blade sections'!AJ38,",",'1-Blade sections'!AK38,",",'1-Blade sections'!$A$21*1000)</f>
        <v>-25,4128913797364,-6,87055148538185,337,5</v>
      </c>
      <c r="I28" s="19" t="str">
        <f>CONCATENATE('1-Blade sections'!AM38,",",'1-Blade sections'!AN38,",",'1-Blade sections'!$A$22*1000)</f>
        <v>-22,7732709378486,-5,68726100615451,382,5</v>
      </c>
      <c r="J28" s="5" t="str">
        <f>CONCATENATE('1-Blade sections'!AP38,",",'1-Blade sections'!AQ38,",",'1-Blade sections'!$A$23*1000)</f>
        <v>-20,6052558494987,-4,80921356155795,427,5</v>
      </c>
      <c r="K28" s="29" t="str">
        <f>CONCATENATE('1-Blade sections'!AS38,",",'1-Blade sections'!AT38,",",'1-Blade sections'!$A$24*1000)</f>
        <v>-20,6052558494987,-4,80921356155795,450</v>
      </c>
      <c r="L28" s="5" t="str">
        <f>CONCATENATE('1-Blade sections'!AV38,",",'1-Blade sections'!AW38,",",'1-Blade sections'!$A$25*1000)</f>
        <v>0,0,0</v>
      </c>
      <c r="M28" s="5" t="str">
        <f>CONCATENATE('1-Blade sections'!AY38,",",'1-Blade sections'!AZ38,",",'1-Blade sections'!$A$26*1000)</f>
        <v>0,0,0</v>
      </c>
      <c r="N28" s="5" t="str">
        <f>CONCATENATE('1-Blade sections'!BB38,",",'1-Blade sections'!BC38,",",'1-Blade sections'!$A$27*1000)</f>
        <v>0,0,0</v>
      </c>
      <c r="O28" s="5" t="str">
        <f>CONCATENATE('1-Blade sections'!BE38,",",'1-Blade sections'!BF38,",",'1-Blade sections'!$A$28*1000)</f>
        <v>0,0,0</v>
      </c>
      <c r="P28" s="5" t="str">
        <f>CONCATENATE('1-Blade sections'!BH38,",",'1-Blade sections'!BI38,",",'1-Blade sections'!$A$29*1000)</f>
        <v>0,0,0</v>
      </c>
      <c r="Q28" s="5" t="str">
        <f>CONCATENATE('1-Blade sections'!BK38,",",'1-Blade sections'!BL38,",",'1-Blade sections'!$A$30*1000)</f>
        <v>0,0,0</v>
      </c>
      <c r="R28" s="5" t="str">
        <f>CONCATENATE('1-Blade sections'!BN38,",",'1-Blade sections'!BO38,",",'1-Blade sections'!$A$31*1000)</f>
        <v>0,0,0</v>
      </c>
      <c r="S28" s="5" t="str">
        <f>CONCATENATE('1-Blade sections'!BQ38,",",'1-Blade sections'!BR38,",",'1-Blade sections'!$A$32*1000)</f>
        <v>0,0,0</v>
      </c>
      <c r="T28" s="12" t="str">
        <f>CONCATENATE('1-Blade sections'!BT38,",",'1-Blade sections'!BU38,",",'1-Blade sections'!$A$33*1000)</f>
        <v>0,0,0</v>
      </c>
    </row>
    <row r="29" spans="1:20" x14ac:dyDescent="0.2">
      <c r="A29" s="5" t="str">
        <f>CONCATENATE('1-Blade sections'!O39,",",'1-Blade sections'!P39,",",'1-Blade sections'!$A$14*1000)</f>
        <v>2,06256,-24,74592,30</v>
      </c>
      <c r="B29" s="5" t="str">
        <f>CONCATENATE('1-Blade sections'!R39,",",'1-Blade sections'!S39,",",'1-Blade sections'!$A$15*1000)</f>
        <v>-40,0446466575374,-37,6433666469412,67,5</v>
      </c>
      <c r="C29" s="5" t="str">
        <f>CONCATENATE('1-Blade sections'!U39,",",'1-Blade sections'!V39,",",'1-Blade sections'!$A$16*1000)</f>
        <v>-40,8412628234244,-27,112811875507,112,5</v>
      </c>
      <c r="D29" s="5" t="str">
        <f>CONCATENATE('1-Blade sections'!X39,",",'1-Blade sections'!Y39,",",'1-Blade sections'!$A$17*1000)</f>
        <v>-36,1456012670429,-18,9619512927652,157,5</v>
      </c>
      <c r="E29" s="12" t="str">
        <f>CONCATENATE('1-Blade sections'!AA39,",",'1-Blade sections'!AB39,",",'1-Blade sections'!$A$18*1000)</f>
        <v>-31,221126139924,-13,8184529924374,202,5</v>
      </c>
      <c r="F29" s="11" t="str">
        <f>CONCATENATE('1-Blade sections'!AD39,",",'1-Blade sections'!AE39,",",'1-Blade sections'!$A$19*1000)</f>
        <v>-27,08556297547,-10,538934176376,247,5</v>
      </c>
      <c r="G29" s="5" t="str">
        <f>CONCATENATE('1-Blade sections'!AG39,",",'1-Blade sections'!AH39,",",'1-Blade sections'!$A$20*1000)</f>
        <v>-23,7585558267431,-8,35383962749437,292,5</v>
      </c>
      <c r="H29" s="4" t="str">
        <f>CONCATENATE('1-Blade sections'!AJ39,",",'1-Blade sections'!AK39,",",'1-Blade sections'!$A$21*1000)</f>
        <v>-21,0854010796598,-6,83081595641564,337,5</v>
      </c>
      <c r="I29" s="19" t="str">
        <f>CONCATENATE('1-Blade sections'!AM39,",",'1-Blade sections'!AN39,",",'1-Blade sections'!$A$22*1000)</f>
        <v>-18,9147390809718,-5,72636584317066,382,5</v>
      </c>
      <c r="J29" s="5" t="str">
        <f>CONCATENATE('1-Blade sections'!AP39,",",'1-Blade sections'!AQ39,",",'1-Blade sections'!$A$23*1000)</f>
        <v>-17,1280075252777,-4,89814590010789,427,5</v>
      </c>
      <c r="K29" s="29" t="str">
        <f>CONCATENATE('1-Blade sections'!AS39,",",'1-Blade sections'!AT39,",",'1-Blade sections'!$A$24*1000)</f>
        <v>-17,1280075252777,-4,89814590010789,450</v>
      </c>
      <c r="L29" s="5" t="str">
        <f>CONCATENATE('1-Blade sections'!AV39,",",'1-Blade sections'!AW39,",",'1-Blade sections'!$A$25*1000)</f>
        <v>0,0,0</v>
      </c>
      <c r="M29" s="5" t="str">
        <f>CONCATENATE('1-Blade sections'!AY39,",",'1-Blade sections'!AZ39,",",'1-Blade sections'!$A$26*1000)</f>
        <v>0,0,0</v>
      </c>
      <c r="N29" s="5" t="str">
        <f>CONCATENATE('1-Blade sections'!BB39,",",'1-Blade sections'!BC39,",",'1-Blade sections'!$A$27*1000)</f>
        <v>0,0,0</v>
      </c>
      <c r="O29" s="5" t="str">
        <f>CONCATENATE('1-Blade sections'!BE39,",",'1-Blade sections'!BF39,",",'1-Blade sections'!$A$28*1000)</f>
        <v>0,0,0</v>
      </c>
      <c r="P29" s="5" t="str">
        <f>CONCATENATE('1-Blade sections'!BH39,",",'1-Blade sections'!BI39,",",'1-Blade sections'!$A$29*1000)</f>
        <v>0,0,0</v>
      </c>
      <c r="Q29" s="5" t="str">
        <f>CONCATENATE('1-Blade sections'!BK39,",",'1-Blade sections'!BL39,",",'1-Blade sections'!$A$30*1000)</f>
        <v>0,0,0</v>
      </c>
      <c r="R29" s="5" t="str">
        <f>CONCATENATE('1-Blade sections'!BN39,",",'1-Blade sections'!BO39,",",'1-Blade sections'!$A$31*1000)</f>
        <v>0,0,0</v>
      </c>
      <c r="S29" s="5" t="str">
        <f>CONCATENATE('1-Blade sections'!BQ39,",",'1-Blade sections'!BR39,",",'1-Blade sections'!$A$32*1000)</f>
        <v>0,0,0</v>
      </c>
      <c r="T29" s="12" t="str">
        <f>CONCATENATE('1-Blade sections'!BT39,",",'1-Blade sections'!BU39,",",'1-Blade sections'!$A$33*1000)</f>
        <v>0,0,0</v>
      </c>
    </row>
    <row r="30" spans="1:20" x14ac:dyDescent="0.2">
      <c r="A30" s="5" t="str">
        <f>CONCATENATE('1-Blade sections'!O40,",",'1-Blade sections'!P40,",",'1-Blade sections'!$A$14*1000)</f>
        <v>6,58608,-23,90736,30</v>
      </c>
      <c r="B30" s="5" t="str">
        <f>CONCATENATE('1-Blade sections'!R40,",",'1-Blade sections'!S40,",",'1-Blade sections'!$A$15*1000)</f>
        <v>-30,5871720396555,-32,6198468239187,67,5</v>
      </c>
      <c r="C30" s="5" t="str">
        <f>CONCATENATE('1-Blade sections'!U40,",",'1-Blade sections'!V40,",",'1-Blade sections'!$A$16*1000)</f>
        <v>-31,7738694341997,-24,1097036031685,112,5</v>
      </c>
      <c r="D30" s="4" t="str">
        <f>CONCATENATE('1-Blade sections'!X40,",",'1-Blade sections'!Y40,",",'1-Blade sections'!$A$17*1000)</f>
        <v>-28,3787573949938,-17,2503575669432,157,5</v>
      </c>
      <c r="E30" s="11" t="str">
        <f>CONCATENATE('1-Blade sections'!AA40,",",'1-Blade sections'!AB40,",",'1-Blade sections'!$A$18*1000)</f>
        <v>-24,6436773794029,-12,8213084916235,202,5</v>
      </c>
      <c r="F30" s="11" t="str">
        <f>CONCATENATE('1-Blade sections'!AD40,",",'1-Blade sections'!AE40,",",'1-Blade sections'!$A$19*1000)</f>
        <v>-21,4536526590432,-9,94628317269461,247,5</v>
      </c>
      <c r="G30" s="5" t="str">
        <f>CONCATENATE('1-Blade sections'!AG40,",",'1-Blade sections'!AH40,",",'1-Blade sections'!$A$20*1000)</f>
        <v>-18,8640845511423,-8,00139737094888,292,5</v>
      </c>
      <c r="H30" s="4" t="str">
        <f>CONCATENATE('1-Blade sections'!AJ40,",",'1-Blade sections'!AK40,",",'1-Blade sections'!$A$21*1000)</f>
        <v>-16,7715151349577,-6,62764251834424,337,5</v>
      </c>
      <c r="I30" s="19" t="str">
        <f>CONCATENATE('1-Blade sections'!AM40,",",'1-Blade sections'!AN40,",",'1-Blade sections'!$A$22*1000)</f>
        <v>-15,0655204327395,-5,61953564706518,382,5</v>
      </c>
      <c r="J30" s="5" t="str">
        <f>CONCATENATE('1-Blade sections'!AP40,",",'1-Blade sections'!AQ40,",",'1-Blade sections'!$A$23*1000)</f>
        <v>-13,6571229466088,-4,85541371950829,427,5</v>
      </c>
      <c r="K30" s="29" t="str">
        <f>CONCATENATE('1-Blade sections'!AS40,",",'1-Blade sections'!AT40,",",'1-Blade sections'!$A$24*1000)</f>
        <v>-13,6571229466088,-4,85541371950829,450</v>
      </c>
      <c r="L30" s="5" t="str">
        <f>CONCATENATE('1-Blade sections'!AV40,",",'1-Blade sections'!AW40,",",'1-Blade sections'!$A$25*1000)</f>
        <v>0,0,0</v>
      </c>
      <c r="M30" s="5" t="str">
        <f>CONCATENATE('1-Blade sections'!AY40,",",'1-Blade sections'!AZ40,",",'1-Blade sections'!$A$26*1000)</f>
        <v>0,0,0</v>
      </c>
      <c r="N30" s="5" t="str">
        <f>CONCATENATE('1-Blade sections'!BB40,",",'1-Blade sections'!BC40,",",'1-Blade sections'!$A$27*1000)</f>
        <v>0,0,0</v>
      </c>
      <c r="O30" s="5" t="str">
        <f>CONCATENATE('1-Blade sections'!BE40,",",'1-Blade sections'!BF40,",",'1-Blade sections'!$A$28*1000)</f>
        <v>0,0,0</v>
      </c>
      <c r="P30" s="5" t="str">
        <f>CONCATENATE('1-Blade sections'!BH40,",",'1-Blade sections'!BI40,",",'1-Blade sections'!$A$29*1000)</f>
        <v>0,0,0</v>
      </c>
      <c r="Q30" s="5" t="str">
        <f>CONCATENATE('1-Blade sections'!BK40,",",'1-Blade sections'!BL40,",",'1-Blade sections'!$A$30*1000)</f>
        <v>0,0,0</v>
      </c>
      <c r="R30" s="5" t="str">
        <f>CONCATENATE('1-Blade sections'!BN40,",",'1-Blade sections'!BO40,",",'1-Blade sections'!$A$31*1000)</f>
        <v>0,0,0</v>
      </c>
      <c r="S30" s="5" t="str">
        <f>CONCATENATE('1-Blade sections'!BQ40,",",'1-Blade sections'!BR40,",",'1-Blade sections'!$A$32*1000)</f>
        <v>0,0,0</v>
      </c>
      <c r="T30" s="12" t="str">
        <f>CONCATENATE('1-Blade sections'!BT40,",",'1-Blade sections'!BU40,",",'1-Blade sections'!$A$33*1000)</f>
        <v>0,0,0</v>
      </c>
    </row>
    <row r="31" spans="1:20" x14ac:dyDescent="0.2">
      <c r="A31" s="5" t="str">
        <f>CONCATENATE('1-Blade sections'!O41,",",'1-Blade sections'!P41,",",'1-Blade sections'!$A$14*1000)</f>
        <v>10,86672,-22,22112,30</v>
      </c>
      <c r="B31" s="5" t="str">
        <f>CONCATENATE('1-Blade sections'!R41,",",'1-Blade sections'!S41,",",'1-Blade sections'!$A$15*1000)</f>
        <v>-12,1007864980853,-21,8316375014343,67,5</v>
      </c>
      <c r="C31" s="5" t="str">
        <f>CONCATENATE('1-Blade sections'!U41,",",'1-Blade sections'!V41,",",'1-Blade sections'!$A$16*1000)</f>
        <v>-13,9051006511763,-17,3876722351889,112,5</v>
      </c>
      <c r="D31" s="5" t="str">
        <f>CONCATENATE('1-Blade sections'!X41,",",'1-Blade sections'!Y41,",",'1-Blade sections'!$A$17*1000)</f>
        <v>-13,0041594788956,-13,2115498393433,157,5</v>
      </c>
      <c r="E31" s="12" t="str">
        <f>CONCATENATE('1-Blade sections'!AA41,",",'1-Blade sections'!AB41,",",'1-Blade sections'!$A$18*1000)</f>
        <v>-11,5873667023063,-10,3043727155361,202,5</v>
      </c>
      <c r="F31" s="11" t="str">
        <f>CONCATENATE('1-Blade sections'!AD41,",",'1-Blade sections'!AE41,",",'1-Blade sections'!$A$19*1000)</f>
        <v>-10,2533816478856,-8,3127161263988,247,5</v>
      </c>
      <c r="G31" s="5" t="str">
        <f>CONCATENATE('1-Blade sections'!AG41,",",'1-Blade sections'!AH41,",",'1-Blade sections'!$A$20*1000)</f>
        <v>-9,11737871895012,-6,90647567769419,292,5</v>
      </c>
      <c r="H31" s="4" t="str">
        <f>CONCATENATE('1-Blade sections'!AJ41,",",'1-Blade sections'!AK41,",",'1-Blade sections'!$A$21*1000)</f>
        <v>-8,17238399371037,-5,8772158335589,337,5</v>
      </c>
      <c r="I31" s="19" t="str">
        <f>CONCATENATE('1-Blade sections'!AM41,",",'1-Blade sections'!AN41,",",'1-Blade sections'!$A$22*1000)</f>
        <v>-7,38668989131569,-5,09864360617711,382,5</v>
      </c>
      <c r="J31" s="5" t="str">
        <f>CONCATENATE('1-Blade sections'!AP41,",",'1-Blade sections'!AQ41,",",'1-Blade sections'!$A$23*1000)</f>
        <v>-6,7287511483283,-4,49276089694165,427,5</v>
      </c>
      <c r="K31" s="29" t="str">
        <f>CONCATENATE('1-Blade sections'!AS41,",",'1-Blade sections'!AT41,",",'1-Blade sections'!$A$24*1000)</f>
        <v>-6,7287511483283,-4,49276089694165,450</v>
      </c>
      <c r="L31" s="5" t="str">
        <f>CONCATENATE('1-Blade sections'!AV41,",",'1-Blade sections'!AW41,",",'1-Blade sections'!$A$25*1000)</f>
        <v>0,0,0</v>
      </c>
      <c r="M31" s="5" t="str">
        <f>CONCATENATE('1-Blade sections'!AY41,",",'1-Blade sections'!AZ41,",",'1-Blade sections'!$A$26*1000)</f>
        <v>0,0,0</v>
      </c>
      <c r="N31" s="5" t="str">
        <f>CONCATENATE('1-Blade sections'!BB41,",",'1-Blade sections'!BC41,",",'1-Blade sections'!$A$27*1000)</f>
        <v>0,0,0</v>
      </c>
      <c r="O31" s="5" t="str">
        <f>CONCATENATE('1-Blade sections'!BE41,",",'1-Blade sections'!BF41,",",'1-Blade sections'!$A$28*1000)</f>
        <v>0,0,0</v>
      </c>
      <c r="P31" s="5" t="str">
        <f>CONCATENATE('1-Blade sections'!BH41,",",'1-Blade sections'!BI41,",",'1-Blade sections'!$A$29*1000)</f>
        <v>0,0,0</v>
      </c>
      <c r="Q31" s="5" t="str">
        <f>CONCATENATE('1-Blade sections'!BK41,",",'1-Blade sections'!BL41,",",'1-Blade sections'!$A$30*1000)</f>
        <v>0,0,0</v>
      </c>
      <c r="R31" s="5" t="str">
        <f>CONCATENATE('1-Blade sections'!BN41,",",'1-Blade sections'!BO41,",",'1-Blade sections'!$A$31*1000)</f>
        <v>0,0,0</v>
      </c>
      <c r="S31" s="5" t="str">
        <f>CONCATENATE('1-Blade sections'!BQ41,",",'1-Blade sections'!BR41,",",'1-Blade sections'!$A$32*1000)</f>
        <v>0,0,0</v>
      </c>
      <c r="T31" s="12" t="str">
        <f>CONCATENATE('1-Blade sections'!BT41,",",'1-Blade sections'!BU41,",",'1-Blade sections'!$A$33*1000)</f>
        <v>0,0,0</v>
      </c>
    </row>
    <row r="32" spans="1:20" x14ac:dyDescent="0.2">
      <c r="A32" s="5" t="str">
        <f>CONCATENATE('1-Blade sections'!O42,",",'1-Blade sections'!P42,",",'1-Blade sections'!$A$14*1000)</f>
        <v>14,74656,-19,7496,30</v>
      </c>
      <c r="B32" s="5" t="str">
        <f>CONCATENATE('1-Blade sections'!R42,",",'1-Blade sections'!S42,",",'1-Blade sections'!$A$15*1000)</f>
        <v>5,978463534001,-10,3393169863322,67,5</v>
      </c>
      <c r="C32" s="5" t="str">
        <f>CONCATENATE('1-Blade sections'!U42,",",'1-Blade sections'!V42,",",'1-Blade sections'!$A$16*1000)</f>
        <v>3,71095103619233,-9,9856167850718,112,5</v>
      </c>
      <c r="D32" s="4" t="str">
        <f>CONCATENATE('1-Blade sections'!X42,",",'1-Blade sections'!Y42,",",'1-Blade sections'!$A$17*1000)</f>
        <v>2,21930310060243,-8,58790284958519,157,5</v>
      </c>
      <c r="E32" s="11" t="str">
        <f>CONCATENATE('1-Blade sections'!AA42,",",'1-Blade sections'!AB42,",",'1-Blade sections'!$A$18*1000)</f>
        <v>1,37528647304192,-7,29092250371207,202,5</v>
      </c>
      <c r="F32" s="11" t="str">
        <f>CONCATENATE('1-Blade sections'!AD42,",",'1-Blade sections'!AE42,",",'1-Blade sections'!$A$19*1000)</f>
        <v>0,886517222660599,-6,25329729311655,247,5</v>
      </c>
      <c r="G32" s="5" t="str">
        <f>CONCATENATE('1-Blade sections'!AG42,",",'1-Blade sections'!AH42,",",'1-Blade sections'!$A$20*1000)</f>
        <v>0,589202230182983,-5,44101866328396,292,5</v>
      </c>
      <c r="H32" s="4" t="str">
        <f>CONCATENATE('1-Blade sections'!AJ42,",",'1-Blade sections'!AK42,",",'1-Blade sections'!$A$21*1000)</f>
        <v>0,399538436787965,-4,79991333056317,337,5</v>
      </c>
      <c r="I32" s="19" t="str">
        <f>CONCATENATE('1-Blade sections'!AM42,",",'1-Blade sections'!AN42,",",'1-Blade sections'!$A$22*1000)</f>
        <v>0,273514232819362,-4,28588149904577,382,5</v>
      </c>
      <c r="J32" s="5" t="str">
        <f>CONCATENATE('1-Blade sections'!AP42,",",'1-Blade sections'!AQ42,",",'1-Blade sections'!$A$23*1000)</f>
        <v>0,186893158847885,-3,86677903607592,427,5</v>
      </c>
      <c r="K32" s="29" t="str">
        <f>CONCATENATE('1-Blade sections'!AS42,",",'1-Blade sections'!AT42,",",'1-Blade sections'!$A$24*1000)</f>
        <v>0,186893158847885,-3,86677903607592,450</v>
      </c>
      <c r="L32" s="5" t="str">
        <f>CONCATENATE('1-Blade sections'!AV42,",",'1-Blade sections'!AW42,",",'1-Blade sections'!$A$25*1000)</f>
        <v>0,0,0</v>
      </c>
      <c r="M32" s="5" t="str">
        <f>CONCATENATE('1-Blade sections'!AY42,",",'1-Blade sections'!AZ42,",",'1-Blade sections'!$A$26*1000)</f>
        <v>0,0,0</v>
      </c>
      <c r="N32" s="5" t="str">
        <f>CONCATENATE('1-Blade sections'!BB42,",",'1-Blade sections'!BC42,",",'1-Blade sections'!$A$27*1000)</f>
        <v>0,0,0</v>
      </c>
      <c r="O32" s="5" t="str">
        <f>CONCATENATE('1-Blade sections'!BE42,",",'1-Blade sections'!BF42,",",'1-Blade sections'!$A$28*1000)</f>
        <v>0,0,0</v>
      </c>
      <c r="P32" s="5" t="str">
        <f>CONCATENATE('1-Blade sections'!BH42,",",'1-Blade sections'!BI42,",",'1-Blade sections'!$A$29*1000)</f>
        <v>0,0,0</v>
      </c>
      <c r="Q32" s="5" t="str">
        <f>CONCATENATE('1-Blade sections'!BK42,",",'1-Blade sections'!BL42,",",'1-Blade sections'!$A$30*1000)</f>
        <v>0,0,0</v>
      </c>
      <c r="R32" s="5" t="str">
        <f>CONCATENATE('1-Blade sections'!BN42,",",'1-Blade sections'!BO42,",",'1-Blade sections'!$A$31*1000)</f>
        <v>0,0,0</v>
      </c>
      <c r="S32" s="5" t="str">
        <f>CONCATENATE('1-Blade sections'!BQ42,",",'1-Blade sections'!BR42,",",'1-Blade sections'!$A$32*1000)</f>
        <v>0,0,0</v>
      </c>
      <c r="T32" s="12" t="str">
        <f>CONCATENATE('1-Blade sections'!BT42,",",'1-Blade sections'!BU42,",",'1-Blade sections'!$A$33*1000)</f>
        <v>0,0,0</v>
      </c>
    </row>
    <row r="33" spans="1:20" x14ac:dyDescent="0.2">
      <c r="A33" s="5" t="str">
        <f>CONCATENATE('1-Blade sections'!O43,",",'1-Blade sections'!P43,",",'1-Blade sections'!$A$14*1000)</f>
        <v>18,08352,-16,58256,30</v>
      </c>
      <c r="B33" s="5" t="str">
        <f>CONCATENATE('1-Blade sections'!R43,",",'1-Blade sections'!S43,",",'1-Blade sections'!$A$15*1000)</f>
        <v>23,7684330725066,1,6532930603666,67,5</v>
      </c>
      <c r="C33" s="5" t="str">
        <f>CONCATENATE('1-Blade sections'!U43,",",'1-Blade sections'!V43,",",'1-Blade sections'!$A$16*1000)</f>
        <v>21,1474405766485,-2,10038632922541,112,5</v>
      </c>
      <c r="D33" s="5" t="str">
        <f>CONCATENATE('1-Blade sections'!X43,",",'1-Blade sections'!Y43,",",'1-Blade sections'!$A$17*1000)</f>
        <v>17,3353800462003,-3,54871217355686,157,5</v>
      </c>
      <c r="E33" s="12" t="str">
        <f>CONCATENATE('1-Blade sections'!AA43,",",'1-Blade sections'!AB43,",",'1-Blade sections'!$A$18*1000)</f>
        <v>14,2713935287268,-3,92468571912775,202,5</v>
      </c>
      <c r="F33" s="11" t="str">
        <f>CONCATENATE('1-Blade sections'!AD43,",",'1-Blade sections'!AE43,",",'1-Blade sections'!$A$19*1000)</f>
        <v>11,983520098562,-3,89129955855447,247,5</v>
      </c>
      <c r="G33" s="5" t="str">
        <f>CONCATENATE('1-Blade sections'!AG43,",",'1-Blade sections'!AH43,",",'1-Blade sections'!$A$20*1000)</f>
        <v>10,2672733939847,-3,71228655226321,292,5</v>
      </c>
      <c r="H33" s="4" t="str">
        <f>CONCATENATE('1-Blade sections'!AJ43,",",'1-Blade sections'!AK43,",",'1-Blade sections'!$A$21*1000)</f>
        <v>8,95212836228043,-3,49035695673373,337,5</v>
      </c>
      <c r="I33" s="19" t="str">
        <f>CONCATENATE('1-Blade sections'!AM43,",",'1-Blade sections'!AN43,",",'1-Blade sections'!$A$22*1000)</f>
        <v>7,92048379730187,-3,26573802905739,382,5</v>
      </c>
      <c r="J33" s="5" t="str">
        <f>CONCATENATE('1-Blade sections'!AP43,",",'1-Blade sections'!AQ43,",",'1-Blade sections'!$A$23*1000)</f>
        <v>7,09349424866046,-3,05369496378717,427,5</v>
      </c>
      <c r="K33" s="29" t="str">
        <f>CONCATENATE('1-Blade sections'!AS43,",",'1-Blade sections'!AT43,",",'1-Blade sections'!$A$24*1000)</f>
        <v>7,09349424866046,-3,05369496378717,450</v>
      </c>
      <c r="L33" s="5" t="str">
        <f>CONCATENATE('1-Blade sections'!AV43,",",'1-Blade sections'!AW43,",",'1-Blade sections'!$A$25*1000)</f>
        <v>0,0,0</v>
      </c>
      <c r="M33" s="5" t="str">
        <f>CONCATENATE('1-Blade sections'!AY43,",",'1-Blade sections'!AZ43,",",'1-Blade sections'!$A$26*1000)</f>
        <v>0,0,0</v>
      </c>
      <c r="N33" s="5" t="str">
        <f>CONCATENATE('1-Blade sections'!BB43,",",'1-Blade sections'!BC43,",",'1-Blade sections'!$A$27*1000)</f>
        <v>0,0,0</v>
      </c>
      <c r="O33" s="5" t="str">
        <f>CONCATENATE('1-Blade sections'!BE43,",",'1-Blade sections'!BF43,",",'1-Blade sections'!$A$28*1000)</f>
        <v>0,0,0</v>
      </c>
      <c r="P33" s="5" t="str">
        <f>CONCATENATE('1-Blade sections'!BH43,",",'1-Blade sections'!BI43,",",'1-Blade sections'!$A$29*1000)</f>
        <v>0,0,0</v>
      </c>
      <c r="Q33" s="5" t="str">
        <f>CONCATENATE('1-Blade sections'!BK43,",",'1-Blade sections'!BL43,",",'1-Blade sections'!$A$30*1000)</f>
        <v>0,0,0</v>
      </c>
      <c r="R33" s="5" t="str">
        <f>CONCATENATE('1-Blade sections'!BN43,",",'1-Blade sections'!BO43,",",'1-Blade sections'!$A$31*1000)</f>
        <v>0,0,0</v>
      </c>
      <c r="S33" s="5" t="str">
        <f>CONCATENATE('1-Blade sections'!BQ43,",",'1-Blade sections'!BR43,",",'1-Blade sections'!$A$32*1000)</f>
        <v>0,0,0</v>
      </c>
      <c r="T33" s="12" t="str">
        <f>CONCATENATE('1-Blade sections'!BT43,",",'1-Blade sections'!BU43,",",'1-Blade sections'!$A$33*1000)</f>
        <v>0,0,0</v>
      </c>
    </row>
    <row r="34" spans="1:20" x14ac:dyDescent="0.2">
      <c r="A34" s="5" t="str">
        <f>CONCATENATE('1-Blade sections'!O44,",",'1-Blade sections'!P44,",",'1-Blade sections'!$A$14*1000)</f>
        <v>20,7552,-12,83712,30</v>
      </c>
      <c r="B34" s="5" t="str">
        <f>CONCATENATE('1-Blade sections'!R44,",",'1-Blade sections'!S44,",",'1-Blade sections'!$A$15*1000)</f>
        <v>41,3334066715605,14,0350171871962,67,5</v>
      </c>
      <c r="C34" s="5" t="str">
        <f>CONCATENATE('1-Blade sections'!U44,",",'1-Blade sections'!V44,",",'1-Blade sections'!$A$16*1000)</f>
        <v>38,444270669506,6,16064690885485,112,5</v>
      </c>
      <c r="D34" s="4" t="str">
        <f>CONCATENATE('1-Blade sections'!X44,",",'1-Blade sections'!Y44,",",'1-Blade sections'!$A$17*1000)</f>
        <v>32,3679348320981,1,81367914734833,157,5</v>
      </c>
      <c r="E34" s="11" t="str">
        <f>CONCATENATE('1-Blade sections'!AA44,",",'1-Blade sections'!AB44,",",'1-Blade sections'!$A$18*1000)</f>
        <v>27,1157424913403,-0,28405937795211,202,5</v>
      </c>
      <c r="F34" s="11" t="str">
        <f>CONCATENATE('1-Blade sections'!AD44,",",'1-Blade sections'!AE44,",",'1-Blade sections'!$A$19*1000)</f>
        <v>23,0471594230729,-1,29396267855252,247,5</v>
      </c>
      <c r="G34" s="5" t="str">
        <f>CONCATENATE('1-Blade sections'!AG44,",",'1-Blade sections'!AH44,",",'1-Blade sections'!$A$20*1000)</f>
        <v>19,9231702803063,-1,77878492165651,292,5</v>
      </c>
      <c r="H34" s="4" t="str">
        <f>CONCATENATE('1-Blade sections'!AJ44,",",'1-Blade sections'!AK44,",",'1-Blade sections'!$A$21*1000)</f>
        <v>17,4896818949906,-2,00015868336698,337,5</v>
      </c>
      <c r="I34" s="19" t="str">
        <f>CONCATENATE('1-Blade sections'!AM44,",",'1-Blade sections'!AN44,",",'1-Blade sections'!$A$22*1000)</f>
        <v>15,5571598153879,-2,08429794351351,382,5</v>
      </c>
      <c r="J34" s="5" t="str">
        <f>CONCATENATE('1-Blade sections'!AP44,",",'1-Blade sections'!AQ44,",",'1-Blade sections'!$A$23*1000)</f>
        <v>13,993061724968,-2,09508694928051,427,5</v>
      </c>
      <c r="K34" s="29" t="str">
        <f>CONCATENATE('1-Blade sections'!AS44,",",'1-Blade sections'!AT44,",",'1-Blade sections'!$A$24*1000)</f>
        <v>13,993061724968,-2,09508694928051,450</v>
      </c>
      <c r="L34" s="5" t="str">
        <f>CONCATENATE('1-Blade sections'!AV44,",",'1-Blade sections'!AW44,",",'1-Blade sections'!$A$25*1000)</f>
        <v>0,0,0</v>
      </c>
      <c r="M34" s="5" t="str">
        <f>CONCATENATE('1-Blade sections'!AY44,",",'1-Blade sections'!AZ44,",",'1-Blade sections'!$A$26*1000)</f>
        <v>0,0,0</v>
      </c>
      <c r="N34" s="5" t="str">
        <f>CONCATENATE('1-Blade sections'!BB44,",",'1-Blade sections'!BC44,",",'1-Blade sections'!$A$27*1000)</f>
        <v>0,0,0</v>
      </c>
      <c r="O34" s="5" t="str">
        <f>CONCATENATE('1-Blade sections'!BE44,",",'1-Blade sections'!BF44,",",'1-Blade sections'!$A$28*1000)</f>
        <v>0,0,0</v>
      </c>
      <c r="P34" s="5" t="str">
        <f>CONCATENATE('1-Blade sections'!BH44,",",'1-Blade sections'!BI44,",",'1-Blade sections'!$A$29*1000)</f>
        <v>0,0,0</v>
      </c>
      <c r="Q34" s="5" t="str">
        <f>CONCATENATE('1-Blade sections'!BK44,",",'1-Blade sections'!BL44,",",'1-Blade sections'!$A$30*1000)</f>
        <v>0,0,0</v>
      </c>
      <c r="R34" s="5" t="str">
        <f>CONCATENATE('1-Blade sections'!BN44,",",'1-Blade sections'!BO44,",",'1-Blade sections'!$A$31*1000)</f>
        <v>0,0,0</v>
      </c>
      <c r="S34" s="5" t="str">
        <f>CONCATENATE('1-Blade sections'!BQ44,",",'1-Blade sections'!BR44,",",'1-Blade sections'!$A$32*1000)</f>
        <v>0,0,0</v>
      </c>
      <c r="T34" s="12" t="str">
        <f>CONCATENATE('1-Blade sections'!BT44,",",'1-Blade sections'!BU44,",",'1-Blade sections'!$A$33*1000)</f>
        <v>0,0,0</v>
      </c>
    </row>
    <row r="35" spans="1:20" x14ac:dyDescent="0.2">
      <c r="A35" s="5" t="str">
        <f>CONCATENATE('1-Blade sections'!O45,",",'1-Blade sections'!P45,",",'1-Blade sections'!$A$14*1000)</f>
        <v>22,6632,-8,65056,30</v>
      </c>
      <c r="B35" s="5" t="str">
        <f>CONCATENATE('1-Blade sections'!R45,",",'1-Blade sections'!S45,",",'1-Blade sections'!$A$15*1000)</f>
        <v>58,7055266082274,26,7502676684236,67,5</v>
      </c>
      <c r="C35" s="5" t="str">
        <f>CONCATENATE('1-Blade sections'!U45,",",'1-Blade sections'!V45,",",'1-Blade sections'!$A$16*1000)</f>
        <v>55,6213926644218,14,7437968174213,112,5</v>
      </c>
      <c r="D35" s="5" t="str">
        <f>CONCATENATE('1-Blade sections'!X45,",",'1-Blade sections'!Y45,",",'1-Blade sections'!$A$17*1000)</f>
        <v>47,3288991953959,7,45309959243369,157,5</v>
      </c>
      <c r="E35" s="12" t="str">
        <f>CONCATENATE('1-Blade sections'!AA45,",",'1-Blade sections'!AB45,",",'1-Blade sections'!$A$18*1000)</f>
        <v>39,9157273741782,3,59175801173037,202,5</v>
      </c>
      <c r="F35" s="11" t="str">
        <f>CONCATENATE('1-Blade sections'!AD45,",",'1-Blade sections'!AE45,",",'1-Blade sections'!$A$19*1000)</f>
        <v>34,0822014178206,1,50509346896932,247,5</v>
      </c>
      <c r="G35" s="5" t="str">
        <f>CONCATENATE('1-Blade sections'!AG45,",",'1-Blade sections'!AH45,",",'1-Blade sections'!$A$20*1000)</f>
        <v>29,5600606430737,0,330233440023869,292,5</v>
      </c>
      <c r="H35" s="4" t="str">
        <f>CONCATENATE('1-Blade sections'!AJ45,",",'1-Blade sections'!AK45,",",'1-Blade sections'!$A$21*1000)</f>
        <v>26,0143470910301,-0,355124496111085,337,5</v>
      </c>
      <c r="I35" s="19" t="str">
        <f>CONCATENATE('1-Blade sections'!AM45,",",'1-Blade sections'!AN45,",",'1-Blade sections'!$A$22*1000)</f>
        <v>23,1850127937057,-0,764603616064936,382,5</v>
      </c>
      <c r="J35" s="5" t="str">
        <f>CONCATENATE('1-Blade sections'!AP45,",",'1-Blade sections'!AQ45,",",'1-Blade sections'!$A$23*1000)</f>
        <v>20,8866003896998,-1,01174412715849,427,5</v>
      </c>
      <c r="K35" s="29" t="str">
        <f>CONCATENATE('1-Blade sections'!AS45,",",'1-Blade sections'!AT45,",",'1-Blade sections'!$A$24*1000)</f>
        <v>20,8866003896998,-1,01174412715849,450</v>
      </c>
      <c r="L35" s="5" t="str">
        <f>CONCATENATE('1-Blade sections'!AV45,",",'1-Blade sections'!AW45,",",'1-Blade sections'!$A$25*1000)</f>
        <v>0,0,0</v>
      </c>
      <c r="M35" s="5" t="str">
        <f>CONCATENATE('1-Blade sections'!AY45,",",'1-Blade sections'!AZ45,",",'1-Blade sections'!$A$26*1000)</f>
        <v>0,0,0</v>
      </c>
      <c r="N35" s="5" t="str">
        <f>CONCATENATE('1-Blade sections'!BB45,",",'1-Blade sections'!BC45,",",'1-Blade sections'!$A$27*1000)</f>
        <v>0,0,0</v>
      </c>
      <c r="O35" s="5" t="str">
        <f>CONCATENATE('1-Blade sections'!BE45,",",'1-Blade sections'!BF45,",",'1-Blade sections'!$A$28*1000)</f>
        <v>0,0,0</v>
      </c>
      <c r="P35" s="5" t="str">
        <f>CONCATENATE('1-Blade sections'!BH45,",",'1-Blade sections'!BI45,",",'1-Blade sections'!$A$29*1000)</f>
        <v>0,0,0</v>
      </c>
      <c r="Q35" s="5" t="str">
        <f>CONCATENATE('1-Blade sections'!BK45,",",'1-Blade sections'!BL45,",",'1-Blade sections'!$A$30*1000)</f>
        <v>0,0,0</v>
      </c>
      <c r="R35" s="5" t="str">
        <f>CONCATENATE('1-Blade sections'!BN45,",",'1-Blade sections'!BO45,",",'1-Blade sections'!$A$31*1000)</f>
        <v>0,0,0</v>
      </c>
      <c r="S35" s="5" t="str">
        <f>CONCATENATE('1-Blade sections'!BQ45,",",'1-Blade sections'!BR45,",",'1-Blade sections'!$A$32*1000)</f>
        <v>0,0,0</v>
      </c>
      <c r="T35" s="12" t="str">
        <f>CONCATENATE('1-Blade sections'!BT45,",",'1-Blade sections'!BU45,",",'1-Blade sections'!$A$33*1000)</f>
        <v>0,0,0</v>
      </c>
    </row>
    <row r="36" spans="1:20" x14ac:dyDescent="0.2">
      <c r="A36" s="5" t="str">
        <f>CONCATENATE('1-Blade sections'!O46,",",'1-Blade sections'!P46,",",'1-Blade sections'!$A$14*1000)</f>
        <v>23,73696,-4,17744,30</v>
      </c>
      <c r="B36" s="5" t="str">
        <f>CONCATENATE('1-Blade sections'!R46,",",'1-Blade sections'!S46,",",'1-Blade sections'!$A$15*1000)</f>
        <v>75,9062210672167,39,7619860202268,67,5</v>
      </c>
      <c r="C36" s="5" t="str">
        <f>CONCATENATE('1-Blade sections'!U46,",",'1-Blade sections'!V46,",",'1-Blade sections'!$A$16*1000)</f>
        <v>72,6921074611672,23,6132726553088,112,5</v>
      </c>
      <c r="D36" s="4" t="str">
        <f>CONCATENATE('1-Blade sections'!X46,",",'1-Blade sections'!Y46,",",'1-Blade sections'!$A$17*1000)</f>
        <v>62,2262276274935,13,3387681479014,157,5</v>
      </c>
      <c r="E36" s="11" t="str">
        <f>CONCATENATE('1-Blade sections'!AA46,",",'1-Blade sections'!AB46,",",'1-Blade sections'!$A$18*1000)</f>
        <v>52,6762775194378,7,67663411119671,202,5</v>
      </c>
      <c r="F36" s="11" t="str">
        <f>CONCATENATE('1-Blade sections'!AD46,",",'1-Blade sections'!AE46,",",'1-Blade sections'!$A$19*1000)</f>
        <v>45,0918235638898,4,4834556320644,247,5</v>
      </c>
      <c r="G36" s="5" t="str">
        <f>CONCATENATE('1-Blade sections'!AG46,",",'1-Blade sections'!AH46,",",'1-Blade sections'!$A$20*1000)</f>
        <v>39,1800563182373,2,59526667376974,292,5</v>
      </c>
      <c r="H36" s="4" t="str">
        <f>CONCATENATE('1-Blade sections'!AJ46,",",'1-Blade sections'!AK46,",",'1-Blade sections'!$A$21*1000)</f>
        <v>34,5275559878069,1,42754161460181,337,5</v>
      </c>
      <c r="I36" s="19" t="str">
        <f>CONCATENATE('1-Blade sections'!AM46,",",'1-Blade sections'!AN46,",",'1-Blade sections'!$A$22*1000)</f>
        <v>30,805023070007,0,677983370854487,382,5</v>
      </c>
      <c r="J36" s="5" t="str">
        <f>CONCATENATE('1-Blade sections'!AP46,",",'1-Blade sections'!AQ46,",",'1-Blade sections'!$A$23*1000)</f>
        <v>27,7747801108088,0,1824740795105,427,5</v>
      </c>
      <c r="K36" s="29" t="str">
        <f>CONCATENATE('1-Blade sections'!AS46,",",'1-Blade sections'!AT46,",",'1-Blade sections'!$A$24*1000)</f>
        <v>27,7747801108088,0,1824740795105,450</v>
      </c>
      <c r="L36" s="5" t="str">
        <f>CONCATENATE('1-Blade sections'!AV46,",",'1-Blade sections'!AW46,",",'1-Blade sections'!$A$25*1000)</f>
        <v>0,0,0</v>
      </c>
      <c r="M36" s="5" t="str">
        <f>CONCATENATE('1-Blade sections'!AY46,",",'1-Blade sections'!AZ46,",",'1-Blade sections'!$A$26*1000)</f>
        <v>0,0,0</v>
      </c>
      <c r="N36" s="5" t="str">
        <f>CONCATENATE('1-Blade sections'!BB46,",",'1-Blade sections'!BC46,",",'1-Blade sections'!$A$27*1000)</f>
        <v>0,0,0</v>
      </c>
      <c r="O36" s="5" t="str">
        <f>CONCATENATE('1-Blade sections'!BE46,",",'1-Blade sections'!BF46,",",'1-Blade sections'!$A$28*1000)</f>
        <v>0,0,0</v>
      </c>
      <c r="P36" s="5" t="str">
        <f>CONCATENATE('1-Blade sections'!BH46,",",'1-Blade sections'!BI46,",",'1-Blade sections'!$A$29*1000)</f>
        <v>0,0,0</v>
      </c>
      <c r="Q36" s="5" t="str">
        <f>CONCATENATE('1-Blade sections'!BK46,",",'1-Blade sections'!BL46,",",'1-Blade sections'!$A$30*1000)</f>
        <v>0,0,0</v>
      </c>
      <c r="R36" s="5" t="str">
        <f>CONCATENATE('1-Blade sections'!BN46,",",'1-Blade sections'!BO46,",",'1-Blade sections'!$A$31*1000)</f>
        <v>0,0,0</v>
      </c>
      <c r="S36" s="5" t="str">
        <f>CONCATENATE('1-Blade sections'!BQ46,",",'1-Blade sections'!BR46,",",'1-Blade sections'!$A$32*1000)</f>
        <v>0,0,0</v>
      </c>
      <c r="T36" s="12" t="str">
        <f>CONCATENATE('1-Blade sections'!BT46,",",'1-Blade sections'!BU46,",",'1-Blade sections'!$A$33*1000)</f>
        <v>0,0,0</v>
      </c>
    </row>
    <row r="37" spans="1:20" x14ac:dyDescent="0.2">
      <c r="A37" s="5"/>
      <c r="B37" s="5" t="str">
        <f>CONCATENATE('1-Blade sections'!R47,",",'1-Blade sections'!S47,",",'1-Blade sections'!$A$15*1000)</f>
        <v>84,4315696502275,46,3975498895053,67,5</v>
      </c>
      <c r="C37" s="5" t="str">
        <f>CONCATENATE('1-Blade sections'!U47,",",'1-Blade sections'!V47,",",'1-Blade sections'!$A$16*1000)</f>
        <v>81,1809117103404,28,1732781683305,112,5</v>
      </c>
      <c r="D37" s="5" t="str">
        <f>CONCATENATE('1-Blade sections'!X47,",",'1-Blade sections'!Y47,",",'1-Blade sections'!$A$17*1000)</f>
        <v>69,6470511236423,16,3893359739276,157,5</v>
      </c>
      <c r="E37" s="12" t="str">
        <f>CONCATENATE('1-Blade sections'!AA47,",",'1-Blade sections'!AB47,",",'1-Blade sections'!$A$18*1000)</f>
        <v>59,0392998943771,9,81053534646032,202,5</v>
      </c>
      <c r="F37" s="11" t="str">
        <f>CONCATENATE('1-Blade sections'!AD47,",",'1-Blade sections'!AE47,",",'1-Blade sections'!$A$19*1000)</f>
        <v>50,5855134531276,6,05108309542522,247,5</v>
      </c>
      <c r="G37" s="5" t="str">
        <f>CONCATENATE('1-Blade sections'!AG47,",",'1-Blade sections'!AH47,",",'1-Blade sections'!$A$20*1000)</f>
        <v>43,9826627299924,3,79603979717132,292,5</v>
      </c>
      <c r="H37" s="4" t="str">
        <f>CONCATENATE('1-Blade sections'!AJ47,",",'1-Blade sections'!AK47,",",'1-Blade sections'!$A$21*1000)</f>
        <v>38,7791483052679,2,37908863647071,337,5</v>
      </c>
      <c r="I37" s="19" t="str">
        <f>CONCATENATE('1-Blade sections'!AM47,",",'1-Blade sections'!AN47,",",'1-Blade sections'!$A$22*1000)</f>
        <v>34,6115970260256,1,45304240283269,382,5</v>
      </c>
      <c r="J37" s="5" t="str">
        <f>CONCATENATE('1-Blade sections'!AP47,",",'1-Blade sections'!AQ47,",",'1-Blade sections'!$A$23*1000)</f>
        <v>31,2165254335282,0,828091163584301,427,5</v>
      </c>
      <c r="K37" s="29" t="str">
        <f>CONCATENATE('1-Blade sections'!AS47,",",'1-Blade sections'!AT47,",",'1-Blade sections'!$A$24*1000)</f>
        <v>31,2165254335282,0,828091163584301,450</v>
      </c>
      <c r="L37" s="5" t="str">
        <f>CONCATENATE('1-Blade sections'!AV47,",",'1-Blade sections'!AW47,",",'1-Blade sections'!$A$25*1000)</f>
        <v>0,0,0</v>
      </c>
      <c r="M37" s="5" t="str">
        <f>CONCATENATE('1-Blade sections'!AY47,",",'1-Blade sections'!AZ47,",",'1-Blade sections'!$A$26*1000)</f>
        <v>0,0,0</v>
      </c>
      <c r="N37" s="5" t="str">
        <f>CONCATENATE('1-Blade sections'!BB47,",",'1-Blade sections'!BC47,",",'1-Blade sections'!$A$27*1000)</f>
        <v>0,0,0</v>
      </c>
      <c r="O37" s="5" t="str">
        <f>CONCATENATE('1-Blade sections'!BE47,",",'1-Blade sections'!BF47,",",'1-Blade sections'!$A$28*1000)</f>
        <v>0,0,0</v>
      </c>
      <c r="P37" s="5" t="str">
        <f>CONCATENATE('1-Blade sections'!BH47,",",'1-Blade sections'!BI47,",",'1-Blade sections'!$A$29*1000)</f>
        <v>0,0,0</v>
      </c>
      <c r="Q37" s="5" t="str">
        <f>CONCATENATE('1-Blade sections'!BK47,",",'1-Blade sections'!BL47,",",'1-Blade sections'!$A$30*1000)</f>
        <v>0,0,0</v>
      </c>
      <c r="R37" s="5" t="str">
        <f>CONCATENATE('1-Blade sections'!BN47,",",'1-Blade sections'!BO47,",",'1-Blade sections'!$A$31*1000)</f>
        <v>0,0,0</v>
      </c>
      <c r="S37" s="5" t="str">
        <f>CONCATENATE('1-Blade sections'!BQ47,",",'1-Blade sections'!BR47,",",'1-Blade sections'!$A$32*1000)</f>
        <v>0,0,0</v>
      </c>
      <c r="T37" s="12" t="str">
        <f>CONCATENATE('1-Blade sections'!BT47,",",'1-Blade sections'!BU47,",",'1-Blade sections'!$A$33*1000)</f>
        <v>0,0,0</v>
      </c>
    </row>
    <row r="38" spans="1:20" ht="17" thickBot="1" x14ac:dyDescent="0.25">
      <c r="A38" s="6"/>
      <c r="B38" s="6" t="str">
        <f>CONCATENATE('1-Blade sections'!R48,",",'1-Blade sections'!S48,",",'1-Blade sections'!$A$15*1000)</f>
        <v>92,9033477714641,53,1257599683388,67,5</v>
      </c>
      <c r="C38" s="6" t="str">
        <f>CONCATENATE('1-Blade sections'!U48,",",'1-Blade sections'!V48,",",'1-Blade sections'!$A$16*1000)</f>
        <v>89,6364637100853,32,8227605342651,112,5</v>
      </c>
      <c r="D38" s="4" t="str">
        <f>CONCATENATE('1-Blade sections'!X48,",",'1-Blade sections'!Y48,",",'1-Blade sections'!$A$17*1000)</f>
        <v>77,0479883912911,19,5168563344482,157,5</v>
      </c>
      <c r="E38" s="11" t="str">
        <f>CONCATENATE('1-Blade sections'!AA48,",",'1-Blade sections'!AB48,",",'1-Blade sections'!$A$18*1000)</f>
        <v>65,3899989138233,12,0097674285314,202,5</v>
      </c>
      <c r="F38" s="21" t="str">
        <f>CONCATENATE('1-Blade sections'!AD48,",",'1-Blade sections'!AE48,",",'1-Blade sections'!$A$19*1000)</f>
        <v>56,0712596396534,7,67474368865268,247,5</v>
      </c>
      <c r="G38" s="6" t="str">
        <f>CONCATENATE('1-Blade sections'!AG48,",",'1-Blade sections'!AH48,",",'1-Blade sections'!$A$20*1000)</f>
        <v>48,7799895518713,5,04556756809337,292,5</v>
      </c>
      <c r="H38" s="16" t="str">
        <f>CONCATENATE('1-Blade sections'!AJ48,",",'1-Blade sections'!AK48,",",'1-Blade sections'!$A$21*1000)</f>
        <v>43,0271605292092,3,37364563441991,337,5</v>
      </c>
      <c r="I38" s="20" t="str">
        <f>CONCATENATE('1-Blade sections'!AM48,",",'1-Blade sections'!AN48,",",'1-Blade sections'!$A$22*1000)</f>
        <v>38,415720137664,2,26650539089554,382,5</v>
      </c>
      <c r="J38" s="6" t="str">
        <f>CONCATENATE('1-Blade sections'!AP48,",",'1-Blade sections'!AQ48,",",'1-Blade sections'!$A$23*1000)</f>
        <v>34,6565960863655,1,50835680532903,427,5</v>
      </c>
      <c r="K38" s="30" t="str">
        <f>CONCATENATE('1-Blade sections'!AS48,",",'1-Blade sections'!AT48,",",'1-Blade sections'!$A$24*1000)</f>
        <v>34,6565960863655,1,50835680532903,450</v>
      </c>
      <c r="L38" s="6" t="str">
        <f>CONCATENATE('1-Blade sections'!AV48,",",'1-Blade sections'!AW48,",",'1-Blade sections'!$A$25*1000)</f>
        <v>0,0,0</v>
      </c>
      <c r="M38" s="6" t="str">
        <f>CONCATENATE('1-Blade sections'!AY48,",",'1-Blade sections'!AZ48,",",'1-Blade sections'!$A$26*1000)</f>
        <v>0,0,0</v>
      </c>
      <c r="N38" s="6" t="str">
        <f>CONCATENATE('1-Blade sections'!BB48,",",'1-Blade sections'!BC48,",",'1-Blade sections'!$A$27*1000)</f>
        <v>0,0,0</v>
      </c>
      <c r="O38" s="6" t="str">
        <f>CONCATENATE('1-Blade sections'!BE48,",",'1-Blade sections'!BF48,",",'1-Blade sections'!$A$28*1000)</f>
        <v>0,0,0</v>
      </c>
      <c r="P38" s="6" t="str">
        <f>CONCATENATE('1-Blade sections'!BH48,",",'1-Blade sections'!BI48,",",'1-Blade sections'!$A$29*1000)</f>
        <v>0,0,0</v>
      </c>
      <c r="Q38" s="6" t="str">
        <f>CONCATENATE('1-Blade sections'!BK48,",",'1-Blade sections'!BL48,",",'1-Blade sections'!$A$30*1000)</f>
        <v>0,0,0</v>
      </c>
      <c r="R38" s="6" t="str">
        <f>CONCATENATE('1-Blade sections'!BN48,",",'1-Blade sections'!BO48,",",'1-Blade sections'!$A$31*1000)</f>
        <v>0,0,0</v>
      </c>
      <c r="S38" s="6" t="str">
        <f>CONCATENATE('1-Blade sections'!BQ48,",",'1-Blade sections'!BR48,",",'1-Blade sections'!$A$32*1000)</f>
        <v>0,0,0</v>
      </c>
      <c r="T38" s="13" t="str">
        <f>CONCATENATE('1-Blade sections'!BT48,",",'1-Blade sections'!BU48,",",'1-Blade sections'!$A$33*1000)</f>
        <v>0,0,0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9606BD4CBE94ABE0E8F8E1B1E2696" ma:contentTypeVersion="10" ma:contentTypeDescription="Create a new document." ma:contentTypeScope="" ma:versionID="792cc64fc3ebb32460c138ed5509b1a5">
  <xsd:schema xmlns:xsd="http://www.w3.org/2001/XMLSchema" xmlns:xs="http://www.w3.org/2001/XMLSchema" xmlns:p="http://schemas.microsoft.com/office/2006/metadata/properties" xmlns:ns2="379741a5-fdb6-458f-98c1-97c2a9b7c0c4" xmlns:ns3="849ea56d-8af4-46e6-a2b1-2fcbbed7d94d" targetNamespace="http://schemas.microsoft.com/office/2006/metadata/properties" ma:root="true" ma:fieldsID="daee7148664ad7ef77400b2c1c5be18b" ns2:_="" ns3:_="">
    <xsd:import namespace="379741a5-fdb6-458f-98c1-97c2a9b7c0c4"/>
    <xsd:import namespace="849ea56d-8af4-46e6-a2b1-2fcbbed7d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741a5-fdb6-458f-98c1-97c2a9b7c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ea56d-8af4-46e6-a2b1-2fcbbed7d9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7af1af-2294-40b3-8abb-87d668b54eeb}" ma:internalName="TaxCatchAll" ma:showField="CatchAllData" ma:web="849ea56d-8af4-46e6-a2b1-2fcbbed7d9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9741a5-fdb6-458f-98c1-97c2a9b7c0c4">
      <Terms xmlns="http://schemas.microsoft.com/office/infopath/2007/PartnerControls"/>
    </lcf76f155ced4ddcb4097134ff3c332f>
    <TaxCatchAll xmlns="849ea56d-8af4-46e6-a2b1-2fcbbed7d94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5AD5A7-2A41-40C2-84DE-655C92105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9741a5-fdb6-458f-98c1-97c2a9b7c0c4"/>
    <ds:schemaRef ds:uri="849ea56d-8af4-46e6-a2b1-2fcbbed7d9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8DB769-2E7A-4910-BE9A-1B8696714E24}">
  <ds:schemaRefs>
    <ds:schemaRef ds:uri="http://purl.org/dc/terms/"/>
    <ds:schemaRef ds:uri="http://www.w3.org/XML/1998/namespace"/>
    <ds:schemaRef ds:uri="http://purl.org/dc/elements/1.1/"/>
    <ds:schemaRef ds:uri="849ea56d-8af4-46e6-a2b1-2fcbbed7d94d"/>
    <ds:schemaRef ds:uri="379741a5-fdb6-458f-98c1-97c2a9b7c0c4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4E9075D-B18E-410E-AC14-1EB65EA3CCD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1-Blade sections</vt:lpstr>
      <vt:lpstr>2-Data to be Imported in Fusion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Tania Kalogiannidis Bracchi</cp:lastModifiedBy>
  <cp:revision/>
  <dcterms:created xsi:type="dcterms:W3CDTF">2023-09-01T12:40:28Z</dcterms:created>
  <dcterms:modified xsi:type="dcterms:W3CDTF">2026-09-04T11:32:34Z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0x0101000959606BD4CBE94ABE0E8F8E1B1E2696</vt:lpwstr>
  </property>
  <property fmtid="{D5CDD505-2E9C-101B-9397-08002B2CF9AE}" pid="3" name="MediaServiceImageTags">
    <vt:lpwstr/>
  </property>
</Properties>
</file>