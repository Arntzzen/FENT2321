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\Desktop\FENT2321\projectDocs\CAD-files\"/>
    </mc:Choice>
  </mc:AlternateContent>
  <xr:revisionPtr revIDLastSave="0" documentId="13_ncr:1_{D3A70F5C-22FA-49D5-8891-3B8E7061DBE6}" xr6:coauthVersionLast="47" xr6:coauthVersionMax="47" xr10:uidLastSave="{00000000-0000-0000-0000-000000000000}"/>
  <bookViews>
    <workbookView xWindow="-28920" yWindow="-120" windowWidth="29040" windowHeight="15840" xr2:uid="{D2C3CB3A-60E9-1744-A5C0-D1EB133E2127}"/>
  </bookViews>
  <sheets>
    <sheet name="1-Blade sections" sheetId="3" r:id="rId1"/>
    <sheet name="2-Data to be Imported in Fus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3" l="1"/>
  <c r="M47" i="3"/>
  <c r="L48" i="3"/>
  <c r="M48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H14" i="3"/>
  <c r="G14" i="3"/>
  <c r="O44" i="3" l="1"/>
  <c r="P44" i="3"/>
  <c r="O38" i="3"/>
  <c r="P38" i="3"/>
  <c r="O32" i="3"/>
  <c r="P32" i="3"/>
  <c r="O26" i="3"/>
  <c r="P26" i="3"/>
  <c r="O20" i="3"/>
  <c r="P20" i="3"/>
  <c r="P43" i="3"/>
  <c r="O43" i="3"/>
  <c r="O37" i="3"/>
  <c r="P37" i="3"/>
  <c r="P31" i="3"/>
  <c r="O31" i="3"/>
  <c r="O25" i="3"/>
  <c r="P25" i="3"/>
  <c r="P19" i="3"/>
  <c r="O19" i="3"/>
  <c r="P14" i="3"/>
  <c r="O14" i="3"/>
  <c r="A4" i="4" s="1"/>
  <c r="P42" i="3"/>
  <c r="O42" i="3"/>
  <c r="P36" i="3"/>
  <c r="O36" i="3"/>
  <c r="P30" i="3"/>
  <c r="O30" i="3"/>
  <c r="P24" i="3"/>
  <c r="O24" i="3"/>
  <c r="P18" i="3"/>
  <c r="O18" i="3"/>
  <c r="O41" i="3"/>
  <c r="P41" i="3"/>
  <c r="O35" i="3"/>
  <c r="P35" i="3"/>
  <c r="O29" i="3"/>
  <c r="P29" i="3"/>
  <c r="O23" i="3"/>
  <c r="P23" i="3"/>
  <c r="O17" i="3"/>
  <c r="P17" i="3"/>
  <c r="P46" i="3"/>
  <c r="O46" i="3"/>
  <c r="O40" i="3"/>
  <c r="P40" i="3"/>
  <c r="P34" i="3"/>
  <c r="O34" i="3"/>
  <c r="O28" i="3"/>
  <c r="P28" i="3"/>
  <c r="P22" i="3"/>
  <c r="O22" i="3"/>
  <c r="O16" i="3"/>
  <c r="P16" i="3"/>
  <c r="O45" i="3"/>
  <c r="P45" i="3"/>
  <c r="O39" i="3"/>
  <c r="P39" i="3"/>
  <c r="O33" i="3"/>
  <c r="P33" i="3"/>
  <c r="O27" i="3"/>
  <c r="P27" i="3"/>
  <c r="O21" i="3"/>
  <c r="P21" i="3"/>
  <c r="O15" i="3"/>
  <c r="P15" i="3"/>
  <c r="BI48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BR18" i="3" l="1"/>
  <c r="BT22" i="3"/>
  <c r="BE26" i="3"/>
  <c r="BR34" i="3"/>
  <c r="BQ40" i="3"/>
  <c r="BH48" i="3"/>
  <c r="P38" i="4" s="1"/>
  <c r="BN48" i="3"/>
  <c r="BU48" i="3"/>
  <c r="BK48" i="3"/>
  <c r="BL48" i="3"/>
  <c r="AW48" i="3"/>
  <c r="AY48" i="3"/>
  <c r="BB48" i="3"/>
  <c r="BU16" i="3"/>
  <c r="BE16" i="3"/>
  <c r="BC16" i="3"/>
  <c r="BF16" i="3"/>
  <c r="BK16" i="3"/>
  <c r="BT20" i="3"/>
  <c r="BL20" i="3"/>
  <c r="BI20" i="3"/>
  <c r="BQ20" i="3"/>
  <c r="BN20" i="3"/>
  <c r="BR20" i="3"/>
  <c r="BF20" i="3"/>
  <c r="BE24" i="3"/>
  <c r="BC24" i="3"/>
  <c r="BU24" i="3"/>
  <c r="BN24" i="3"/>
  <c r="BK24" i="3"/>
  <c r="BR28" i="3"/>
  <c r="BT28" i="3"/>
  <c r="BI28" i="3"/>
  <c r="BL28" i="3"/>
  <c r="BN28" i="3"/>
  <c r="BF28" i="3"/>
  <c r="BI15" i="3"/>
  <c r="BK15" i="3"/>
  <c r="BE15" i="3"/>
  <c r="AW15" i="3"/>
  <c r="AY15" i="3"/>
  <c r="BO15" i="3"/>
  <c r="BT15" i="3"/>
  <c r="AZ15" i="3"/>
  <c r="BR15" i="3"/>
  <c r="BB15" i="3"/>
  <c r="BQ15" i="3"/>
  <c r="BN15" i="3"/>
  <c r="BF15" i="3"/>
  <c r="BC15" i="3"/>
  <c r="BU15" i="3"/>
  <c r="BH15" i="3"/>
  <c r="AV15" i="3"/>
  <c r="BL15" i="3"/>
  <c r="BR17" i="3"/>
  <c r="BK17" i="3"/>
  <c r="AV17" i="3"/>
  <c r="BE17" i="3"/>
  <c r="BC17" i="3"/>
  <c r="BH17" i="3"/>
  <c r="AZ17" i="3"/>
  <c r="BL17" i="3"/>
  <c r="BO17" i="3"/>
  <c r="AW17" i="3"/>
  <c r="BU17" i="3"/>
  <c r="BT17" i="3"/>
  <c r="BB17" i="3"/>
  <c r="N7" i="4" s="1"/>
  <c r="BQ17" i="3"/>
  <c r="AY17" i="3"/>
  <c r="M7" i="4" s="1"/>
  <c r="BI17" i="3"/>
  <c r="BE19" i="3"/>
  <c r="BI19" i="3"/>
  <c r="BK19" i="3"/>
  <c r="AW19" i="3"/>
  <c r="BO19" i="3"/>
  <c r="BU19" i="3"/>
  <c r="BN19" i="3"/>
  <c r="BF19" i="3"/>
  <c r="BC19" i="3"/>
  <c r="BH19" i="3"/>
  <c r="P9" i="4" s="1"/>
  <c r="BL19" i="3"/>
  <c r="AV19" i="3"/>
  <c r="L9" i="4" s="1"/>
  <c r="AY19" i="3"/>
  <c r="BR19" i="3"/>
  <c r="BQ19" i="3"/>
  <c r="BT19" i="3"/>
  <c r="AZ19" i="3"/>
  <c r="BC21" i="3"/>
  <c r="AV21" i="3"/>
  <c r="BR21" i="3"/>
  <c r="BO21" i="3"/>
  <c r="BT21" i="3"/>
  <c r="BB21" i="3"/>
  <c r="BL21" i="3"/>
  <c r="BK21" i="3"/>
  <c r="AY21" i="3"/>
  <c r="BI21" i="3"/>
  <c r="BN21" i="3"/>
  <c r="BF21" i="3"/>
  <c r="BE21" i="3"/>
  <c r="BH21" i="3"/>
  <c r="P11" i="4" s="1"/>
  <c r="AZ21" i="3"/>
  <c r="AW21" i="3"/>
  <c r="BU21" i="3"/>
  <c r="BI23" i="3"/>
  <c r="BK23" i="3"/>
  <c r="AW23" i="3"/>
  <c r="BE23" i="3"/>
  <c r="BQ23" i="3"/>
  <c r="BO23" i="3"/>
  <c r="AY23" i="3"/>
  <c r="BN23" i="3"/>
  <c r="BF23" i="3"/>
  <c r="BC23" i="3"/>
  <c r="BT23" i="3"/>
  <c r="AV23" i="3"/>
  <c r="AZ23" i="3"/>
  <c r="BB23" i="3"/>
  <c r="BU23" i="3"/>
  <c r="BH23" i="3"/>
  <c r="BL23" i="3"/>
  <c r="BC25" i="3"/>
  <c r="AV25" i="3"/>
  <c r="BE25" i="3"/>
  <c r="BH25" i="3"/>
  <c r="AZ25" i="3"/>
  <c r="BT25" i="3"/>
  <c r="BL25" i="3"/>
  <c r="BQ25" i="3"/>
  <c r="BB25" i="3"/>
  <c r="N15" i="4" s="1"/>
  <c r="BU25" i="3"/>
  <c r="AW25" i="3"/>
  <c r="BO25" i="3"/>
  <c r="BR25" i="3"/>
  <c r="BK25" i="3"/>
  <c r="AY25" i="3"/>
  <c r="BI25" i="3"/>
  <c r="BI27" i="3"/>
  <c r="BK27" i="3"/>
  <c r="BE27" i="3"/>
  <c r="AW27" i="3"/>
  <c r="BO27" i="3"/>
  <c r="AV27" i="3"/>
  <c r="BR27" i="3"/>
  <c r="BN27" i="3"/>
  <c r="BF27" i="3"/>
  <c r="AY27" i="3"/>
  <c r="BU27" i="3"/>
  <c r="BC27" i="3"/>
  <c r="BH27" i="3"/>
  <c r="BL27" i="3"/>
  <c r="BQ27" i="3"/>
  <c r="S17" i="4" s="1"/>
  <c r="BT27" i="3"/>
  <c r="AZ27" i="3"/>
  <c r="BC29" i="3"/>
  <c r="AV29" i="3"/>
  <c r="BO29" i="3"/>
  <c r="AW29" i="3"/>
  <c r="BB29" i="3"/>
  <c r="BE29" i="3"/>
  <c r="AZ29" i="3"/>
  <c r="BK29" i="3"/>
  <c r="AY29" i="3"/>
  <c r="BI29" i="3"/>
  <c r="BQ29" i="3"/>
  <c r="BN29" i="3"/>
  <c r="BF29" i="3"/>
  <c r="BT29" i="3"/>
  <c r="BH29" i="3"/>
  <c r="BL29" i="3"/>
  <c r="BR29" i="3"/>
  <c r="BU29" i="3"/>
  <c r="BQ31" i="3"/>
  <c r="BN31" i="3"/>
  <c r="BE31" i="3"/>
  <c r="AW31" i="3"/>
  <c r="BH31" i="3"/>
  <c r="BL31" i="3"/>
  <c r="BK31" i="3"/>
  <c r="AY31" i="3"/>
  <c r="BC31" i="3"/>
  <c r="BU31" i="3"/>
  <c r="BT31" i="3"/>
  <c r="AZ31" i="3"/>
  <c r="BR31" i="3"/>
  <c r="BO31" i="3"/>
  <c r="BB31" i="3"/>
  <c r="BF31" i="3"/>
  <c r="AV31" i="3"/>
  <c r="BI31" i="3"/>
  <c r="BN33" i="3"/>
  <c r="AV33" i="3"/>
  <c r="BE33" i="3"/>
  <c r="BH33" i="3"/>
  <c r="BL33" i="3"/>
  <c r="AZ33" i="3"/>
  <c r="BO33" i="3"/>
  <c r="BT33" i="3"/>
  <c r="BQ33" i="3"/>
  <c r="BB33" i="3"/>
  <c r="BU33" i="3"/>
  <c r="BI33" i="3"/>
  <c r="BR33" i="3"/>
  <c r="BK33" i="3"/>
  <c r="BC33" i="3"/>
  <c r="BF33" i="3"/>
  <c r="AW33" i="3"/>
  <c r="AY33" i="3"/>
  <c r="BN35" i="3"/>
  <c r="BE35" i="3"/>
  <c r="BH35" i="3"/>
  <c r="AW35" i="3"/>
  <c r="BL35" i="3"/>
  <c r="BK35" i="3"/>
  <c r="BU35" i="3"/>
  <c r="BR35" i="3"/>
  <c r="BC35" i="3"/>
  <c r="BQ35" i="3"/>
  <c r="BO35" i="3"/>
  <c r="AV35" i="3"/>
  <c r="AY35" i="3"/>
  <c r="BB35" i="3"/>
  <c r="BF35" i="3"/>
  <c r="BT35" i="3"/>
  <c r="AZ35" i="3"/>
  <c r="BI35" i="3"/>
  <c r="BN37" i="3"/>
  <c r="BE37" i="3"/>
  <c r="BH37" i="3"/>
  <c r="BL37" i="3"/>
  <c r="AV37" i="3"/>
  <c r="BT37" i="3"/>
  <c r="BO37" i="3"/>
  <c r="BK37" i="3"/>
  <c r="AW37" i="3"/>
  <c r="BB37" i="3"/>
  <c r="AY37" i="3"/>
  <c r="BI37" i="3"/>
  <c r="BR37" i="3"/>
  <c r="AZ37" i="3"/>
  <c r="BC37" i="3"/>
  <c r="BF37" i="3"/>
  <c r="BU37" i="3"/>
  <c r="BQ39" i="3"/>
  <c r="BN39" i="3"/>
  <c r="BE39" i="3"/>
  <c r="AW39" i="3"/>
  <c r="BH39" i="3"/>
  <c r="BL39" i="3"/>
  <c r="BK39" i="3"/>
  <c r="AY39" i="3"/>
  <c r="BC39" i="3"/>
  <c r="BT39" i="3"/>
  <c r="AV39" i="3"/>
  <c r="AZ39" i="3"/>
  <c r="BO39" i="3"/>
  <c r="BB39" i="3"/>
  <c r="BF39" i="3"/>
  <c r="BU39" i="3"/>
  <c r="BI39" i="3"/>
  <c r="BN41" i="3"/>
  <c r="AV41" i="3"/>
  <c r="BE41" i="3"/>
  <c r="BH41" i="3"/>
  <c r="BL41" i="3"/>
  <c r="AZ41" i="3"/>
  <c r="BT41" i="3"/>
  <c r="BQ41" i="3"/>
  <c r="BO41" i="3"/>
  <c r="BB41" i="3"/>
  <c r="BR41" i="3"/>
  <c r="BU41" i="3"/>
  <c r="AW41" i="3"/>
  <c r="BI41" i="3"/>
  <c r="BK41" i="3"/>
  <c r="BC41" i="3"/>
  <c r="BF41" i="3"/>
  <c r="AY41" i="3"/>
  <c r="BC43" i="3"/>
  <c r="BN43" i="3"/>
  <c r="BE43" i="3"/>
  <c r="BH43" i="3"/>
  <c r="BL43" i="3"/>
  <c r="AW43" i="3"/>
  <c r="BB43" i="3"/>
  <c r="BQ43" i="3"/>
  <c r="AV43" i="3"/>
  <c r="BK43" i="3"/>
  <c r="BR43" i="3"/>
  <c r="AY43" i="3"/>
  <c r="BO43" i="3"/>
  <c r="BU43" i="3"/>
  <c r="BF43" i="3"/>
  <c r="BT43" i="3"/>
  <c r="AZ43" i="3"/>
  <c r="BI43" i="3"/>
  <c r="BC45" i="3"/>
  <c r="BN45" i="3"/>
  <c r="BE45" i="3"/>
  <c r="BH45" i="3"/>
  <c r="BB45" i="3"/>
  <c r="AV45" i="3"/>
  <c r="BL45" i="3"/>
  <c r="AW45" i="3"/>
  <c r="BO45" i="3"/>
  <c r="BT45" i="3"/>
  <c r="AZ45" i="3"/>
  <c r="BR45" i="3"/>
  <c r="AY45" i="3"/>
  <c r="BI45" i="3"/>
  <c r="BQ45" i="3"/>
  <c r="BK45" i="3"/>
  <c r="BF45" i="3"/>
  <c r="BU45" i="3"/>
  <c r="BQ47" i="3"/>
  <c r="BC47" i="3"/>
  <c r="BN47" i="3"/>
  <c r="BE47" i="3"/>
  <c r="AW47" i="3"/>
  <c r="BH47" i="3"/>
  <c r="BB47" i="3"/>
  <c r="BL47" i="3"/>
  <c r="BK47" i="3"/>
  <c r="AY47" i="3"/>
  <c r="BU47" i="3"/>
  <c r="BT47" i="3"/>
  <c r="AZ47" i="3"/>
  <c r="BR47" i="3"/>
  <c r="BO47" i="3"/>
  <c r="BF47" i="3"/>
  <c r="AV47" i="3"/>
  <c r="BI47" i="3"/>
  <c r="BC26" i="3"/>
  <c r="BF25" i="3"/>
  <c r="BO24" i="3"/>
  <c r="BR39" i="3"/>
  <c r="BC18" i="3"/>
  <c r="BF17" i="3"/>
  <c r="BO16" i="3"/>
  <c r="BR23" i="3"/>
  <c r="BL14" i="3"/>
  <c r="BB16" i="3"/>
  <c r="BN18" i="3"/>
  <c r="BK20" i="3"/>
  <c r="BU22" i="3"/>
  <c r="BF24" i="3"/>
  <c r="BN26" i="3"/>
  <c r="BK28" i="3"/>
  <c r="BF30" i="3"/>
  <c r="BF32" i="3"/>
  <c r="BF34" i="3"/>
  <c r="BR36" i="3"/>
  <c r="BF38" i="3"/>
  <c r="BF40" i="3"/>
  <c r="BF42" i="3"/>
  <c r="BF44" i="3"/>
  <c r="BQ46" i="3"/>
  <c r="BB27" i="3"/>
  <c r="BN25" i="3"/>
  <c r="BQ37" i="3"/>
  <c r="BK14" i="3"/>
  <c r="BQ14" i="3"/>
  <c r="BU14" i="3"/>
  <c r="AW14" i="3"/>
  <c r="AZ14" i="3"/>
  <c r="BB18" i="3"/>
  <c r="BU18" i="3"/>
  <c r="BH18" i="3"/>
  <c r="AV18" i="3"/>
  <c r="AW18" i="3"/>
  <c r="BB22" i="3"/>
  <c r="BK22" i="3"/>
  <c r="BO22" i="3"/>
  <c r="AW22" i="3"/>
  <c r="BN22" i="3"/>
  <c r="BI22" i="3"/>
  <c r="BU26" i="3"/>
  <c r="BH26" i="3"/>
  <c r="BB26" i="3"/>
  <c r="BQ26" i="3"/>
  <c r="BT26" i="3"/>
  <c r="T16" i="4" s="1"/>
  <c r="BB30" i="3"/>
  <c r="BR30" i="3"/>
  <c r="BK30" i="3"/>
  <c r="BQ30" i="3"/>
  <c r="BU30" i="3"/>
  <c r="AV30" i="3"/>
  <c r="BB32" i="3"/>
  <c r="BU32" i="3"/>
  <c r="BL32" i="3"/>
  <c r="BH32" i="3"/>
  <c r="BQ34" i="3"/>
  <c r="AV34" i="3"/>
  <c r="BC34" i="3"/>
  <c r="AW34" i="3"/>
  <c r="BT36" i="3"/>
  <c r="BQ36" i="3"/>
  <c r="BB36" i="3"/>
  <c r="BL36" i="3"/>
  <c r="BH36" i="3"/>
  <c r="BC38" i="3"/>
  <c r="BQ38" i="3"/>
  <c r="AW38" i="3"/>
  <c r="BB40" i="3"/>
  <c r="BU40" i="3"/>
  <c r="BL40" i="3"/>
  <c r="BH40" i="3"/>
  <c r="BU42" i="3"/>
  <c r="BT42" i="3"/>
  <c r="BT44" i="3"/>
  <c r="BL44" i="3"/>
  <c r="BH44" i="3"/>
  <c r="BR46" i="3"/>
  <c r="BU46" i="3"/>
  <c r="AV46" i="3"/>
  <c r="BB19" i="3"/>
  <c r="BE18" i="3"/>
  <c r="BN17" i="3"/>
  <c r="BQ21" i="3"/>
  <c r="BQ24" i="3"/>
  <c r="BT38" i="3"/>
  <c r="BC22" i="3"/>
  <c r="BE30" i="3"/>
  <c r="BE22" i="3"/>
  <c r="BO28" i="3"/>
  <c r="BO20" i="3"/>
  <c r="BR42" i="3"/>
  <c r="BR26" i="3"/>
  <c r="BQ48" i="3"/>
  <c r="BQ32" i="3"/>
  <c r="BT30" i="3"/>
  <c r="BT46" i="3"/>
  <c r="AV22" i="3"/>
  <c r="AV38" i="3"/>
  <c r="BU38" i="3"/>
  <c r="BH34" i="3"/>
  <c r="BH38" i="3"/>
  <c r="BH42" i="3"/>
  <c r="BH46" i="3"/>
  <c r="AW26" i="3"/>
  <c r="AW42" i="3"/>
  <c r="BI26" i="3"/>
  <c r="BI18" i="3"/>
  <c r="BN16" i="3"/>
  <c r="BT34" i="3"/>
  <c r="BQ42" i="3"/>
  <c r="BF36" i="3"/>
  <c r="BF46" i="3"/>
  <c r="BF48" i="3"/>
  <c r="AV48" i="3"/>
  <c r="BC48" i="3"/>
  <c r="AZ48" i="3"/>
  <c r="BN14" i="3"/>
  <c r="BE14" i="3"/>
  <c r="AV14" i="3"/>
  <c r="BI14" i="3"/>
  <c r="BC14" i="3"/>
  <c r="BH14" i="3"/>
  <c r="BB14" i="3"/>
  <c r="BO14" i="3"/>
  <c r="BF14" i="3"/>
  <c r="BR16" i="3"/>
  <c r="AZ16" i="3"/>
  <c r="BH16" i="3"/>
  <c r="AW16" i="3"/>
  <c r="AY16" i="3"/>
  <c r="AV16" i="3"/>
  <c r="BL18" i="3"/>
  <c r="AY18" i="3"/>
  <c r="AZ18" i="3"/>
  <c r="BF18" i="3"/>
  <c r="AZ20" i="3"/>
  <c r="AW20" i="3"/>
  <c r="AV20" i="3"/>
  <c r="BB20" i="3"/>
  <c r="BH20" i="3"/>
  <c r="AY20" i="3"/>
  <c r="BF22" i="3"/>
  <c r="AY22" i="3"/>
  <c r="BL22" i="3"/>
  <c r="AZ22" i="3"/>
  <c r="AZ24" i="3"/>
  <c r="BR24" i="3"/>
  <c r="BB24" i="3"/>
  <c r="AW24" i="3"/>
  <c r="AY24" i="3"/>
  <c r="AV24" i="3"/>
  <c r="BH24" i="3"/>
  <c r="BF26" i="3"/>
  <c r="AY26" i="3"/>
  <c r="BL26" i="3"/>
  <c r="AZ26" i="3"/>
  <c r="AZ28" i="3"/>
  <c r="AW28" i="3"/>
  <c r="AV28" i="3"/>
  <c r="BB28" i="3"/>
  <c r="BH28" i="3"/>
  <c r="AY28" i="3"/>
  <c r="BN30" i="3"/>
  <c r="BC30" i="3"/>
  <c r="AY30" i="3"/>
  <c r="BH30" i="3"/>
  <c r="AZ30" i="3"/>
  <c r="BI30" i="3"/>
  <c r="BR32" i="3"/>
  <c r="BN32" i="3"/>
  <c r="AZ32" i="3"/>
  <c r="BE32" i="3"/>
  <c r="BI32" i="3"/>
  <c r="AW32" i="3"/>
  <c r="BK32" i="3"/>
  <c r="AV32" i="3"/>
  <c r="AY32" i="3"/>
  <c r="BN34" i="3"/>
  <c r="BE34" i="3"/>
  <c r="AY34" i="3"/>
  <c r="BI34" i="3"/>
  <c r="AZ34" i="3"/>
  <c r="BK34" i="3"/>
  <c r="BN36" i="3"/>
  <c r="AZ36" i="3"/>
  <c r="AW36" i="3"/>
  <c r="BE36" i="3"/>
  <c r="AV36" i="3"/>
  <c r="BI36" i="3"/>
  <c r="BK36" i="3"/>
  <c r="AY36" i="3"/>
  <c r="BN38" i="3"/>
  <c r="BE38" i="3"/>
  <c r="AY38" i="3"/>
  <c r="BI38" i="3"/>
  <c r="AZ38" i="3"/>
  <c r="BK38" i="3"/>
  <c r="BR40" i="3"/>
  <c r="S30" i="4" s="1"/>
  <c r="BN40" i="3"/>
  <c r="AZ40" i="3"/>
  <c r="BE40" i="3"/>
  <c r="BI40" i="3"/>
  <c r="AW40" i="3"/>
  <c r="BK40" i="3"/>
  <c r="AY40" i="3"/>
  <c r="AV40" i="3"/>
  <c r="BI42" i="3"/>
  <c r="BB42" i="3"/>
  <c r="BK42" i="3"/>
  <c r="AY42" i="3"/>
  <c r="BC42" i="3"/>
  <c r="BN42" i="3"/>
  <c r="AZ42" i="3"/>
  <c r="BE42" i="3"/>
  <c r="BI44" i="3"/>
  <c r="AZ44" i="3"/>
  <c r="AW44" i="3"/>
  <c r="BB44" i="3"/>
  <c r="BK44" i="3"/>
  <c r="AV44" i="3"/>
  <c r="BC44" i="3"/>
  <c r="BN44" i="3"/>
  <c r="BE44" i="3"/>
  <c r="AY44" i="3"/>
  <c r="M34" i="4" s="1"/>
  <c r="BI46" i="3"/>
  <c r="BB46" i="3"/>
  <c r="BK46" i="3"/>
  <c r="AY46" i="3"/>
  <c r="BC46" i="3"/>
  <c r="BN46" i="3"/>
  <c r="AZ46" i="3"/>
  <c r="BE46" i="3"/>
  <c r="BC28" i="3"/>
  <c r="BC20" i="3"/>
  <c r="BE28" i="3"/>
  <c r="BE20" i="3"/>
  <c r="BO26" i="3"/>
  <c r="BO18" i="3"/>
  <c r="BR38" i="3"/>
  <c r="BR22" i="3"/>
  <c r="BQ44" i="3"/>
  <c r="BQ28" i="3"/>
  <c r="BL16" i="3"/>
  <c r="BL24" i="3"/>
  <c r="BL30" i="3"/>
  <c r="BL34" i="3"/>
  <c r="BL38" i="3"/>
  <c r="BL42" i="3"/>
  <c r="BL46" i="3"/>
  <c r="AV26" i="3"/>
  <c r="AV42" i="3"/>
  <c r="BK26" i="3"/>
  <c r="BK18" i="3"/>
  <c r="BH22" i="3"/>
  <c r="AY14" i="3"/>
  <c r="AW30" i="3"/>
  <c r="AW46" i="3"/>
  <c r="BI24" i="3"/>
  <c r="BI16" i="3"/>
  <c r="BU44" i="3"/>
  <c r="BU36" i="3"/>
  <c r="BU28" i="3"/>
  <c r="BU20" i="3"/>
  <c r="BT48" i="3"/>
  <c r="BT40" i="3"/>
  <c r="BT32" i="3"/>
  <c r="BT24" i="3"/>
  <c r="T14" i="4" s="1"/>
  <c r="BT16" i="3"/>
  <c r="T6" i="4" s="1"/>
  <c r="BT18" i="3"/>
  <c r="BU34" i="3"/>
  <c r="BT14" i="3"/>
  <c r="BQ18" i="3"/>
  <c r="S8" i="4" s="1"/>
  <c r="BQ16" i="3"/>
  <c r="BO30" i="3"/>
  <c r="BO32" i="3"/>
  <c r="BO34" i="3"/>
  <c r="BO36" i="3"/>
  <c r="BO38" i="3"/>
  <c r="BO40" i="3"/>
  <c r="BO42" i="3"/>
  <c r="BO44" i="3"/>
  <c r="BO46" i="3"/>
  <c r="BO48" i="3"/>
  <c r="BR44" i="3"/>
  <c r="BB34" i="3"/>
  <c r="BB38" i="3"/>
  <c r="BQ22" i="3"/>
  <c r="BR14" i="3"/>
  <c r="BC32" i="3"/>
  <c r="BC36" i="3"/>
  <c r="BC40" i="3"/>
  <c r="BE48" i="3"/>
  <c r="BR48" i="3"/>
  <c r="AS19" i="3"/>
  <c r="S48" i="3"/>
  <c r="AB15" i="3"/>
  <c r="V23" i="3"/>
  <c r="S27" i="3"/>
  <c r="AQ35" i="3"/>
  <c r="S43" i="3"/>
  <c r="AN19" i="3"/>
  <c r="AH33" i="3"/>
  <c r="AB45" i="3"/>
  <c r="U47" i="3"/>
  <c r="AK43" i="3"/>
  <c r="AK48" i="3"/>
  <c r="S24" i="3"/>
  <c r="AQ28" i="3"/>
  <c r="S32" i="3"/>
  <c r="S40" i="3"/>
  <c r="AG44" i="3"/>
  <c r="AE48" i="3"/>
  <c r="AB48" i="3"/>
  <c r="AH17" i="3"/>
  <c r="U29" i="3"/>
  <c r="Y37" i="3"/>
  <c r="AE41" i="3"/>
  <c r="AH47" i="3"/>
  <c r="V41" i="3"/>
  <c r="AM14" i="3"/>
  <c r="AT14" i="3"/>
  <c r="AE14" i="3"/>
  <c r="AG14" i="3"/>
  <c r="AQ14" i="3"/>
  <c r="AB14" i="3"/>
  <c r="V14" i="3"/>
  <c r="AD14" i="3"/>
  <c r="AN14" i="3"/>
  <c r="X18" i="3"/>
  <c r="R18" i="3"/>
  <c r="Y18" i="3"/>
  <c r="S18" i="3"/>
  <c r="AT18" i="3"/>
  <c r="AJ18" i="3"/>
  <c r="AJ22" i="3"/>
  <c r="AK22" i="3"/>
  <c r="U22" i="3"/>
  <c r="X22" i="3"/>
  <c r="AE26" i="3"/>
  <c r="AQ26" i="3"/>
  <c r="X26" i="3"/>
  <c r="R26" i="3"/>
  <c r="Y26" i="3"/>
  <c r="S26" i="3"/>
  <c r="AT26" i="3"/>
  <c r="AJ26" i="3"/>
  <c r="AE30" i="3"/>
  <c r="AQ30" i="3"/>
  <c r="AT30" i="3"/>
  <c r="AJ30" i="3"/>
  <c r="AK30" i="3"/>
  <c r="U30" i="3"/>
  <c r="X30" i="3"/>
  <c r="AQ34" i="3"/>
  <c r="Y34" i="3"/>
  <c r="AE34" i="3"/>
  <c r="AK34" i="3"/>
  <c r="AG34" i="3"/>
  <c r="R34" i="3"/>
  <c r="AH34" i="3"/>
  <c r="S34" i="3"/>
  <c r="AT34" i="3"/>
  <c r="AA34" i="3"/>
  <c r="AM34" i="3"/>
  <c r="Y38" i="3"/>
  <c r="AK38" i="3"/>
  <c r="AE38" i="3"/>
  <c r="AQ38" i="3"/>
  <c r="AT38" i="3"/>
  <c r="AG38" i="3"/>
  <c r="AH38" i="3"/>
  <c r="U38" i="3"/>
  <c r="AA38" i="3"/>
  <c r="AM38" i="3"/>
  <c r="AB42" i="3"/>
  <c r="AK42" i="3"/>
  <c r="R42" i="3"/>
  <c r="AE42" i="3"/>
  <c r="AM42" i="3"/>
  <c r="S42" i="3"/>
  <c r="AT42" i="3"/>
  <c r="Y42" i="3"/>
  <c r="AG42" i="3"/>
  <c r="AN42" i="3"/>
  <c r="AT46" i="3"/>
  <c r="Y46" i="3"/>
  <c r="AG46" i="3"/>
  <c r="AN46" i="3"/>
  <c r="AA46" i="3"/>
  <c r="AH46" i="3"/>
  <c r="AQ46" i="3"/>
  <c r="U46" i="3"/>
  <c r="AB46" i="3"/>
  <c r="AK46" i="3"/>
  <c r="R38" i="3"/>
  <c r="R22" i="3"/>
  <c r="AT15" i="3"/>
  <c r="X15" i="3"/>
  <c r="AD15" i="3"/>
  <c r="AJ15" i="3"/>
  <c r="AP15" i="3"/>
  <c r="Y15" i="3"/>
  <c r="AE15" i="3"/>
  <c r="AK15" i="3"/>
  <c r="AQ15" i="3"/>
  <c r="AG15" i="3"/>
  <c r="R15" i="3"/>
  <c r="AH15" i="3"/>
  <c r="AM15" i="3"/>
  <c r="S15" i="3"/>
  <c r="AS15" i="3"/>
  <c r="AN15" i="3"/>
  <c r="AA15" i="3"/>
  <c r="U15" i="3"/>
  <c r="AT19" i="3"/>
  <c r="X19" i="3"/>
  <c r="AD19" i="3"/>
  <c r="AJ19" i="3"/>
  <c r="AP19" i="3"/>
  <c r="Y19" i="3"/>
  <c r="AE19" i="3"/>
  <c r="AK19" i="3"/>
  <c r="AQ19" i="3"/>
  <c r="AG19" i="3"/>
  <c r="R19" i="3"/>
  <c r="AH19" i="3"/>
  <c r="AA19" i="3"/>
  <c r="U19" i="3"/>
  <c r="AB19" i="3"/>
  <c r="V19" i="3"/>
  <c r="AM19" i="3"/>
  <c r="AT23" i="3"/>
  <c r="X23" i="3"/>
  <c r="AD23" i="3"/>
  <c r="AJ23" i="3"/>
  <c r="AP23" i="3"/>
  <c r="Y23" i="3"/>
  <c r="AE23" i="3"/>
  <c r="AK23" i="3"/>
  <c r="AQ23" i="3"/>
  <c r="AG23" i="3"/>
  <c r="R23" i="3"/>
  <c r="AH23" i="3"/>
  <c r="AM23" i="3"/>
  <c r="S23" i="3"/>
  <c r="AS23" i="3"/>
  <c r="AN23" i="3"/>
  <c r="AA23" i="3"/>
  <c r="U23" i="3"/>
  <c r="AT27" i="3"/>
  <c r="X27" i="3"/>
  <c r="AD27" i="3"/>
  <c r="AJ27" i="3"/>
  <c r="AP27" i="3"/>
  <c r="Y27" i="3"/>
  <c r="AE27" i="3"/>
  <c r="AK27" i="3"/>
  <c r="AQ27" i="3"/>
  <c r="AG27" i="3"/>
  <c r="R27" i="3"/>
  <c r="AH27" i="3"/>
  <c r="AA27" i="3"/>
  <c r="U27" i="3"/>
  <c r="AB27" i="3"/>
  <c r="V27" i="3"/>
  <c r="AM27" i="3"/>
  <c r="AT31" i="3"/>
  <c r="X31" i="3"/>
  <c r="AD31" i="3"/>
  <c r="AJ31" i="3"/>
  <c r="AP31" i="3"/>
  <c r="Y31" i="3"/>
  <c r="AE31" i="3"/>
  <c r="AK31" i="3"/>
  <c r="AQ31" i="3"/>
  <c r="AG31" i="3"/>
  <c r="R31" i="3"/>
  <c r="AH31" i="3"/>
  <c r="AM31" i="3"/>
  <c r="S31" i="3"/>
  <c r="AS31" i="3"/>
  <c r="AN31" i="3"/>
  <c r="AA31" i="3"/>
  <c r="U31" i="3"/>
  <c r="AT35" i="3"/>
  <c r="AA35" i="3"/>
  <c r="AG35" i="3"/>
  <c r="AM35" i="3"/>
  <c r="R35" i="3"/>
  <c r="AB35" i="3"/>
  <c r="AH35" i="3"/>
  <c r="AN35" i="3"/>
  <c r="X35" i="3"/>
  <c r="AJ35" i="3"/>
  <c r="U35" i="3"/>
  <c r="Y35" i="3"/>
  <c r="AK35" i="3"/>
  <c r="V35" i="3"/>
  <c r="AD35" i="3"/>
  <c r="AP35" i="3"/>
  <c r="AT39" i="3"/>
  <c r="AA39" i="3"/>
  <c r="AG39" i="3"/>
  <c r="AM39" i="3"/>
  <c r="R39" i="3"/>
  <c r="AB39" i="3"/>
  <c r="AN39" i="3"/>
  <c r="AH39" i="3"/>
  <c r="X39" i="3"/>
  <c r="AJ39" i="3"/>
  <c r="S39" i="3"/>
  <c r="AS39" i="3"/>
  <c r="Y39" i="3"/>
  <c r="AK39" i="3"/>
  <c r="AD39" i="3"/>
  <c r="AP39" i="3"/>
  <c r="AT45" i="3"/>
  <c r="AA45" i="3"/>
  <c r="AG45" i="3"/>
  <c r="AM45" i="3"/>
  <c r="R45" i="3"/>
  <c r="AS45" i="3"/>
  <c r="AD45" i="3"/>
  <c r="AK45" i="3"/>
  <c r="V45" i="3"/>
  <c r="X45" i="3"/>
  <c r="AE45" i="3"/>
  <c r="AN45" i="3"/>
  <c r="S45" i="3"/>
  <c r="Y45" i="3"/>
  <c r="AH45" i="3"/>
  <c r="AP45" i="3"/>
  <c r="R46" i="3"/>
  <c r="S35" i="3"/>
  <c r="R30" i="3"/>
  <c r="S19" i="3"/>
  <c r="U14" i="3"/>
  <c r="U44" i="3"/>
  <c r="U39" i="3"/>
  <c r="U18" i="3"/>
  <c r="AP14" i="3"/>
  <c r="AQ45" i="3"/>
  <c r="AQ42" i="3"/>
  <c r="AE39" i="3"/>
  <c r="AN34" i="3"/>
  <c r="AB31" i="3"/>
  <c r="AK26" i="3"/>
  <c r="Y22" i="3"/>
  <c r="AS35" i="3"/>
  <c r="AP16" i="3"/>
  <c r="U16" i="3"/>
  <c r="AQ16" i="3"/>
  <c r="R16" i="3"/>
  <c r="AD16" i="3"/>
  <c r="AD20" i="3"/>
  <c r="S20" i="3"/>
  <c r="AE20" i="3"/>
  <c r="AP20" i="3"/>
  <c r="U20" i="3"/>
  <c r="AP24" i="3"/>
  <c r="U24" i="3"/>
  <c r="AQ24" i="3"/>
  <c r="R24" i="3"/>
  <c r="AD24" i="3"/>
  <c r="Y28" i="3"/>
  <c r="AK28" i="3"/>
  <c r="AD28" i="3"/>
  <c r="S28" i="3"/>
  <c r="AE28" i="3"/>
  <c r="AP28" i="3"/>
  <c r="U28" i="3"/>
  <c r="Y32" i="3"/>
  <c r="AK32" i="3"/>
  <c r="AP32" i="3"/>
  <c r="U32" i="3"/>
  <c r="AQ32" i="3"/>
  <c r="R32" i="3"/>
  <c r="AD32" i="3"/>
  <c r="Y36" i="3"/>
  <c r="AE36" i="3"/>
  <c r="AK36" i="3"/>
  <c r="AQ36" i="3"/>
  <c r="AA36" i="3"/>
  <c r="AM36" i="3"/>
  <c r="S36" i="3"/>
  <c r="AB36" i="3"/>
  <c r="AN36" i="3"/>
  <c r="AG36" i="3"/>
  <c r="U36" i="3"/>
  <c r="AE40" i="3"/>
  <c r="Y40" i="3"/>
  <c r="AK40" i="3"/>
  <c r="AA40" i="3"/>
  <c r="AM40" i="3"/>
  <c r="U40" i="3"/>
  <c r="AB40" i="3"/>
  <c r="AN40" i="3"/>
  <c r="R40" i="3"/>
  <c r="AG40" i="3"/>
  <c r="AQ40" i="3"/>
  <c r="AA44" i="3"/>
  <c r="AH44" i="3"/>
  <c r="AQ44" i="3"/>
  <c r="S44" i="3"/>
  <c r="AB44" i="3"/>
  <c r="AK44" i="3"/>
  <c r="AE44" i="3"/>
  <c r="AM44" i="3"/>
  <c r="S16" i="3"/>
  <c r="U34" i="3"/>
  <c r="AH14" i="3"/>
  <c r="AM46" i="3"/>
  <c r="AA42" i="3"/>
  <c r="E32" i="4" s="1"/>
  <c r="AH40" i="3"/>
  <c r="AB38" i="3"/>
  <c r="AE24" i="3"/>
  <c r="AT17" i="3"/>
  <c r="X17" i="3"/>
  <c r="AD17" i="3"/>
  <c r="AJ17" i="3"/>
  <c r="AP17" i="3"/>
  <c r="Y17" i="3"/>
  <c r="AE17" i="3"/>
  <c r="AK17" i="3"/>
  <c r="AQ17" i="3"/>
  <c r="AA17" i="3"/>
  <c r="AM17" i="3"/>
  <c r="R17" i="3"/>
  <c r="AS17" i="3"/>
  <c r="AB17" i="3"/>
  <c r="AN17" i="3"/>
  <c r="U17" i="3"/>
  <c r="AG17" i="3"/>
  <c r="V17" i="3"/>
  <c r="AT21" i="3"/>
  <c r="X21" i="3"/>
  <c r="AD21" i="3"/>
  <c r="AJ21" i="3"/>
  <c r="AP21" i="3"/>
  <c r="Y21" i="3"/>
  <c r="AE21" i="3"/>
  <c r="AK21" i="3"/>
  <c r="AQ21" i="3"/>
  <c r="AA21" i="3"/>
  <c r="AM21" i="3"/>
  <c r="R21" i="3"/>
  <c r="AS21" i="3"/>
  <c r="AB21" i="3"/>
  <c r="AN21" i="3"/>
  <c r="AG21" i="3"/>
  <c r="V21" i="3"/>
  <c r="AH21" i="3"/>
  <c r="S21" i="3"/>
  <c r="AT25" i="3"/>
  <c r="X25" i="3"/>
  <c r="AD25" i="3"/>
  <c r="AJ25" i="3"/>
  <c r="AP25" i="3"/>
  <c r="Y25" i="3"/>
  <c r="AE25" i="3"/>
  <c r="AK25" i="3"/>
  <c r="AQ25" i="3"/>
  <c r="AA25" i="3"/>
  <c r="AM25" i="3"/>
  <c r="R25" i="3"/>
  <c r="AS25" i="3"/>
  <c r="AB25" i="3"/>
  <c r="AN25" i="3"/>
  <c r="U25" i="3"/>
  <c r="AG25" i="3"/>
  <c r="V25" i="3"/>
  <c r="AT29" i="3"/>
  <c r="X29" i="3"/>
  <c r="AD29" i="3"/>
  <c r="AJ29" i="3"/>
  <c r="AP29" i="3"/>
  <c r="Y29" i="3"/>
  <c r="AE29" i="3"/>
  <c r="AK29" i="3"/>
  <c r="AQ29" i="3"/>
  <c r="AA29" i="3"/>
  <c r="AM29" i="3"/>
  <c r="R29" i="3"/>
  <c r="AS29" i="3"/>
  <c r="AB29" i="3"/>
  <c r="AN29" i="3"/>
  <c r="AG29" i="3"/>
  <c r="V29" i="3"/>
  <c r="AH29" i="3"/>
  <c r="S29" i="3"/>
  <c r="AT33" i="3"/>
  <c r="X33" i="3"/>
  <c r="AD33" i="3"/>
  <c r="AJ33" i="3"/>
  <c r="Y33" i="3"/>
  <c r="AE33" i="3"/>
  <c r="AK33" i="3"/>
  <c r="AA33" i="3"/>
  <c r="AM33" i="3"/>
  <c r="R33" i="3"/>
  <c r="AS33" i="3"/>
  <c r="AB33" i="3"/>
  <c r="AN33" i="3"/>
  <c r="AP33" i="3"/>
  <c r="AQ33" i="3"/>
  <c r="U33" i="3"/>
  <c r="AG33" i="3"/>
  <c r="V33" i="3"/>
  <c r="AT37" i="3"/>
  <c r="AA37" i="3"/>
  <c r="AG37" i="3"/>
  <c r="AM37" i="3"/>
  <c r="R37" i="3"/>
  <c r="AB37" i="3"/>
  <c r="AS37" i="3"/>
  <c r="AH37" i="3"/>
  <c r="AN37" i="3"/>
  <c r="AD37" i="3"/>
  <c r="AP37" i="3"/>
  <c r="V37" i="3"/>
  <c r="AE37" i="3"/>
  <c r="AQ37" i="3"/>
  <c r="S37" i="3"/>
  <c r="X37" i="3"/>
  <c r="AJ37" i="3"/>
  <c r="AT41" i="3"/>
  <c r="AA41" i="3"/>
  <c r="AG41" i="3"/>
  <c r="AM41" i="3"/>
  <c r="R41" i="3"/>
  <c r="AS41" i="3"/>
  <c r="Y41" i="3"/>
  <c r="AH41" i="3"/>
  <c r="AP41" i="3"/>
  <c r="AB41" i="3"/>
  <c r="AJ41" i="3"/>
  <c r="AQ41" i="3"/>
  <c r="U41" i="3"/>
  <c r="AD41" i="3"/>
  <c r="AK41" i="3"/>
  <c r="AT43" i="3"/>
  <c r="AA43" i="3"/>
  <c r="AG43" i="3"/>
  <c r="AM43" i="3"/>
  <c r="R43" i="3"/>
  <c r="X43" i="3"/>
  <c r="AE43" i="3"/>
  <c r="AN43" i="3"/>
  <c r="U43" i="3"/>
  <c r="Y43" i="3"/>
  <c r="AH43" i="3"/>
  <c r="AP43" i="3"/>
  <c r="V43" i="3"/>
  <c r="AB43" i="3"/>
  <c r="AJ43" i="3"/>
  <c r="AQ43" i="3"/>
  <c r="AT47" i="3"/>
  <c r="AA47" i="3"/>
  <c r="AG47" i="3"/>
  <c r="AM47" i="3"/>
  <c r="R47" i="3"/>
  <c r="AB47" i="3"/>
  <c r="AJ47" i="3"/>
  <c r="AQ47" i="3"/>
  <c r="S47" i="3"/>
  <c r="AS47" i="3"/>
  <c r="AD47" i="3"/>
  <c r="AK47" i="3"/>
  <c r="X47" i="3"/>
  <c r="AE47" i="3"/>
  <c r="AN47" i="3"/>
  <c r="S46" i="3"/>
  <c r="S41" i="3"/>
  <c r="R36" i="3"/>
  <c r="S30" i="3"/>
  <c r="S25" i="3"/>
  <c r="R20" i="3"/>
  <c r="R14" i="3"/>
  <c r="U45" i="3"/>
  <c r="V39" i="3"/>
  <c r="V31" i="3"/>
  <c r="U21" i="3"/>
  <c r="AA14" i="3"/>
  <c r="AP47" i="3"/>
  <c r="AE46" i="3"/>
  <c r="AN44" i="3"/>
  <c r="AD43" i="3"/>
  <c r="AN41" i="3"/>
  <c r="AQ39" i="3"/>
  <c r="AK37" i="3"/>
  <c r="AE35" i="3"/>
  <c r="AE32" i="3"/>
  <c r="AN27" i="3"/>
  <c r="AB23" i="3"/>
  <c r="AK18" i="3"/>
  <c r="AS43" i="3"/>
  <c r="R44" i="3"/>
  <c r="S38" i="3"/>
  <c r="S33" i="3"/>
  <c r="R28" i="3"/>
  <c r="S22" i="3"/>
  <c r="S17" i="3"/>
  <c r="V47" i="3"/>
  <c r="U42" i="3"/>
  <c r="U37" i="3"/>
  <c r="U26" i="3"/>
  <c r="V15" i="3"/>
  <c r="Y47" i="3"/>
  <c r="AJ45" i="3"/>
  <c r="Y44" i="3"/>
  <c r="AH42" i="3"/>
  <c r="X41" i="3"/>
  <c r="D31" i="4" s="1"/>
  <c r="AN38" i="3"/>
  <c r="AH36" i="3"/>
  <c r="AB34" i="3"/>
  <c r="Y30" i="3"/>
  <c r="AH25" i="3"/>
  <c r="AQ20" i="3"/>
  <c r="AE16" i="3"/>
  <c r="AS27" i="3"/>
  <c r="AQ48" i="3"/>
  <c r="AH48" i="3"/>
  <c r="AA48" i="3"/>
  <c r="AJ14" i="3"/>
  <c r="Y16" i="3"/>
  <c r="AE18" i="3"/>
  <c r="Y20" i="3"/>
  <c r="AE22" i="3"/>
  <c r="Y24" i="3"/>
  <c r="R48" i="3"/>
  <c r="AN48" i="3"/>
  <c r="AG48" i="3"/>
  <c r="Y48" i="3"/>
  <c r="U48" i="3"/>
  <c r="AM48" i="3"/>
  <c r="AK24" i="3"/>
  <c r="AQ22" i="3"/>
  <c r="AK20" i="3"/>
  <c r="AQ18" i="3"/>
  <c r="AK16" i="3"/>
  <c r="AS14" i="3"/>
  <c r="AA16" i="3"/>
  <c r="AG16" i="3"/>
  <c r="AM16" i="3"/>
  <c r="AS16" i="3"/>
  <c r="AB16" i="3"/>
  <c r="AH16" i="3"/>
  <c r="AN16" i="3"/>
  <c r="AA18" i="3"/>
  <c r="AG18" i="3"/>
  <c r="AM18" i="3"/>
  <c r="AS18" i="3"/>
  <c r="AB18" i="3"/>
  <c r="AH18" i="3"/>
  <c r="AN18" i="3"/>
  <c r="AA20" i="3"/>
  <c r="AG20" i="3"/>
  <c r="AM20" i="3"/>
  <c r="AS20" i="3"/>
  <c r="AB20" i="3"/>
  <c r="AH20" i="3"/>
  <c r="AN20" i="3"/>
  <c r="AA22" i="3"/>
  <c r="AG22" i="3"/>
  <c r="AM22" i="3"/>
  <c r="AS22" i="3"/>
  <c r="AB22" i="3"/>
  <c r="AH22" i="3"/>
  <c r="AN22" i="3"/>
  <c r="AA24" i="3"/>
  <c r="AG24" i="3"/>
  <c r="AM24" i="3"/>
  <c r="AS24" i="3"/>
  <c r="AB24" i="3"/>
  <c r="AH24" i="3"/>
  <c r="AN24" i="3"/>
  <c r="AA26" i="3"/>
  <c r="AG26" i="3"/>
  <c r="AM26" i="3"/>
  <c r="AS26" i="3"/>
  <c r="AB26" i="3"/>
  <c r="AH26" i="3"/>
  <c r="AN26" i="3"/>
  <c r="AA28" i="3"/>
  <c r="AG28" i="3"/>
  <c r="AM28" i="3"/>
  <c r="AS28" i="3"/>
  <c r="AB28" i="3"/>
  <c r="AH28" i="3"/>
  <c r="AN28" i="3"/>
  <c r="AA30" i="3"/>
  <c r="AG30" i="3"/>
  <c r="AM30" i="3"/>
  <c r="AS30" i="3"/>
  <c r="AB30" i="3"/>
  <c r="AH30" i="3"/>
  <c r="AN30" i="3"/>
  <c r="AA32" i="3"/>
  <c r="AG32" i="3"/>
  <c r="AM32" i="3"/>
  <c r="AS32" i="3"/>
  <c r="AB32" i="3"/>
  <c r="AH32" i="3"/>
  <c r="AN32" i="3"/>
  <c r="AS34" i="3"/>
  <c r="AS36" i="3"/>
  <c r="AS38" i="3"/>
  <c r="AS40" i="3"/>
  <c r="AS42" i="3"/>
  <c r="AS44" i="3"/>
  <c r="AS46" i="3"/>
  <c r="AS48" i="3"/>
  <c r="S14" i="3"/>
  <c r="V48" i="3"/>
  <c r="V46" i="3"/>
  <c r="V44" i="3"/>
  <c r="V42" i="3"/>
  <c r="V40" i="3"/>
  <c r="V38" i="3"/>
  <c r="V36" i="3"/>
  <c r="V34" i="3"/>
  <c r="V32" i="3"/>
  <c r="V30" i="3"/>
  <c r="V28" i="3"/>
  <c r="V26" i="3"/>
  <c r="V24" i="3"/>
  <c r="V22" i="3"/>
  <c r="V20" i="3"/>
  <c r="V18" i="3"/>
  <c r="V16" i="3"/>
  <c r="Y14" i="3"/>
  <c r="AK14" i="3"/>
  <c r="X14" i="3"/>
  <c r="AP48" i="3"/>
  <c r="AJ48" i="3"/>
  <c r="AD48" i="3"/>
  <c r="X48" i="3"/>
  <c r="AP46" i="3"/>
  <c r="AJ46" i="3"/>
  <c r="AD46" i="3"/>
  <c r="X46" i="3"/>
  <c r="AP44" i="3"/>
  <c r="AJ44" i="3"/>
  <c r="AD44" i="3"/>
  <c r="X44" i="3"/>
  <c r="AP42" i="3"/>
  <c r="AJ42" i="3"/>
  <c r="AD42" i="3"/>
  <c r="X42" i="3"/>
  <c r="AP40" i="3"/>
  <c r="AJ40" i="3"/>
  <c r="AD40" i="3"/>
  <c r="X40" i="3"/>
  <c r="AP38" i="3"/>
  <c r="AJ38" i="3"/>
  <c r="AD38" i="3"/>
  <c r="X38" i="3"/>
  <c r="AP36" i="3"/>
  <c r="AJ36" i="3"/>
  <c r="AD36" i="3"/>
  <c r="X36" i="3"/>
  <c r="AP34" i="3"/>
  <c r="AJ34" i="3"/>
  <c r="AD34" i="3"/>
  <c r="X34" i="3"/>
  <c r="AJ32" i="3"/>
  <c r="X32" i="3"/>
  <c r="AP30" i="3"/>
  <c r="AD30" i="3"/>
  <c r="AJ28" i="3"/>
  <c r="X28" i="3"/>
  <c r="AP26" i="3"/>
  <c r="AD26" i="3"/>
  <c r="AJ24" i="3"/>
  <c r="X24" i="3"/>
  <c r="AP22" i="3"/>
  <c r="AD22" i="3"/>
  <c r="AJ20" i="3"/>
  <c r="X20" i="3"/>
  <c r="AP18" i="3"/>
  <c r="AD18" i="3"/>
  <c r="AJ16" i="3"/>
  <c r="X16" i="3"/>
  <c r="AT48" i="3"/>
  <c r="AT44" i="3"/>
  <c r="AT40" i="3"/>
  <c r="AT36" i="3"/>
  <c r="AT32" i="3"/>
  <c r="AT28" i="3"/>
  <c r="AT24" i="3"/>
  <c r="AT20" i="3"/>
  <c r="AT16" i="3"/>
  <c r="F4" i="4" l="1"/>
  <c r="N38" i="4"/>
  <c r="O18" i="4"/>
  <c r="O10" i="4"/>
  <c r="O22" i="4"/>
  <c r="T12" i="4"/>
  <c r="D36" i="4"/>
  <c r="D32" i="4"/>
  <c r="D6" i="4"/>
  <c r="D12" i="4"/>
  <c r="G4" i="4"/>
  <c r="E21" i="4"/>
  <c r="D26" i="4"/>
  <c r="D22" i="4"/>
  <c r="D18" i="4"/>
  <c r="D10" i="4"/>
  <c r="D20" i="4"/>
  <c r="E24" i="4"/>
  <c r="E13" i="4"/>
  <c r="D29" i="4"/>
  <c r="E35" i="4"/>
  <c r="E23" i="4"/>
  <c r="E29" i="4"/>
  <c r="D8" i="4"/>
  <c r="D16" i="4"/>
  <c r="D35" i="4"/>
  <c r="E28" i="4"/>
  <c r="E36" i="4"/>
  <c r="D5" i="4"/>
  <c r="E5" i="4"/>
  <c r="D9" i="4"/>
  <c r="E9" i="4"/>
  <c r="D13" i="4"/>
  <c r="D17" i="4"/>
  <c r="E17" i="4"/>
  <c r="D21" i="4"/>
  <c r="E25" i="4"/>
  <c r="D25" i="4"/>
  <c r="E26" i="4"/>
  <c r="E30" i="4"/>
  <c r="E34" i="4"/>
  <c r="D7" i="4"/>
  <c r="E7" i="4"/>
  <c r="D11" i="4"/>
  <c r="E11" i="4"/>
  <c r="D15" i="4"/>
  <c r="E15" i="4"/>
  <c r="D19" i="4"/>
  <c r="E19" i="4"/>
  <c r="E27" i="4"/>
  <c r="D27" i="4"/>
  <c r="E31" i="4"/>
  <c r="E33" i="4"/>
  <c r="D33" i="4"/>
  <c r="E37" i="4"/>
  <c r="D37" i="4"/>
  <c r="E38" i="4"/>
  <c r="E6" i="4"/>
  <c r="E8" i="4"/>
  <c r="E10" i="4"/>
  <c r="E12" i="4"/>
  <c r="E14" i="4"/>
  <c r="E16" i="4"/>
  <c r="E18" i="4"/>
  <c r="E20" i="4"/>
  <c r="E22" i="4"/>
  <c r="D38" i="4"/>
  <c r="D34" i="4"/>
  <c r="D30" i="4"/>
  <c r="D28" i="4"/>
  <c r="D24" i="4"/>
  <c r="D14" i="4"/>
  <c r="D23" i="4"/>
  <c r="O26" i="4"/>
  <c r="Q38" i="4"/>
  <c r="O38" i="4"/>
  <c r="Q33" i="4"/>
  <c r="O32" i="4"/>
  <c r="P18" i="4"/>
  <c r="N8" i="4"/>
  <c r="T7" i="4"/>
  <c r="O28" i="4"/>
  <c r="L25" i="4"/>
  <c r="H32" i="4"/>
  <c r="Q30" i="4"/>
  <c r="B4" i="4"/>
  <c r="N35" i="4"/>
  <c r="H4" i="4"/>
  <c r="B18" i="4"/>
  <c r="N9" i="4"/>
  <c r="L34" i="4"/>
  <c r="R33" i="4"/>
  <c r="T27" i="4"/>
  <c r="J32" i="4"/>
  <c r="K17" i="4"/>
  <c r="S18" i="4"/>
  <c r="M37" i="4"/>
  <c r="S31" i="4"/>
  <c r="K33" i="4"/>
  <c r="B34" i="4"/>
  <c r="B10" i="4"/>
  <c r="R6" i="4"/>
  <c r="Q34" i="4"/>
  <c r="Q23" i="4"/>
  <c r="L13" i="4"/>
  <c r="O11" i="4"/>
  <c r="N19" i="4"/>
  <c r="F30" i="4"/>
  <c r="S7" i="4"/>
  <c r="P10" i="4"/>
  <c r="H24" i="4"/>
  <c r="B7" i="4"/>
  <c r="Q26" i="4"/>
  <c r="M14" i="4"/>
  <c r="S24" i="4"/>
  <c r="S27" i="4"/>
  <c r="Q10" i="4"/>
  <c r="Q35" i="4"/>
  <c r="T25" i="4"/>
  <c r="O19" i="4"/>
  <c r="N17" i="4"/>
  <c r="M31" i="4"/>
  <c r="R19" i="4"/>
  <c r="N13" i="4"/>
  <c r="O24" i="4"/>
  <c r="I37" i="4"/>
  <c r="I38" i="4"/>
  <c r="I5" i="4"/>
  <c r="A13" i="4"/>
  <c r="M23" i="4"/>
  <c r="N24" i="4"/>
  <c r="Q8" i="4"/>
  <c r="P17" i="4"/>
  <c r="J18" i="4"/>
  <c r="H22" i="4"/>
  <c r="J34" i="4"/>
  <c r="K19" i="4"/>
  <c r="T30" i="4"/>
  <c r="O30" i="4"/>
  <c r="L12" i="4"/>
  <c r="L37" i="4"/>
  <c r="H26" i="4"/>
  <c r="K16" i="4"/>
  <c r="I13" i="4"/>
  <c r="K7" i="4"/>
  <c r="Q27" i="4"/>
  <c r="J37" i="4"/>
  <c r="B15" i="4"/>
  <c r="K11" i="4"/>
  <c r="F36" i="4"/>
  <c r="J29" i="4"/>
  <c r="K15" i="4"/>
  <c r="I36" i="4"/>
  <c r="I21" i="4"/>
  <c r="T4" i="4"/>
  <c r="O34" i="4"/>
  <c r="Q4" i="4"/>
  <c r="M38" i="4"/>
  <c r="R38" i="4"/>
  <c r="O12" i="4"/>
  <c r="Q24" i="4"/>
  <c r="L18" i="4"/>
  <c r="L4" i="4"/>
  <c r="P27" i="4"/>
  <c r="O23" i="4"/>
  <c r="R17" i="4"/>
  <c r="P12" i="4"/>
  <c r="L16" i="4"/>
  <c r="S6" i="4"/>
  <c r="T8" i="4"/>
  <c r="Q28" i="4"/>
  <c r="M22" i="4"/>
  <c r="M20" i="4"/>
  <c r="O16" i="4"/>
  <c r="M10" i="4"/>
  <c r="M8" i="4"/>
  <c r="L38" i="4"/>
  <c r="S32" i="4"/>
  <c r="P32" i="4"/>
  <c r="L28" i="4"/>
  <c r="R7" i="4"/>
  <c r="S28" i="4"/>
  <c r="N26" i="4"/>
  <c r="N6" i="4"/>
  <c r="L35" i="4"/>
  <c r="T33" i="4"/>
  <c r="M33" i="4"/>
  <c r="P33" i="4"/>
  <c r="N31" i="4"/>
  <c r="L29" i="4"/>
  <c r="S25" i="4"/>
  <c r="O25" i="4"/>
  <c r="R11" i="4"/>
  <c r="T9" i="4"/>
  <c r="S10" i="4"/>
  <c r="T38" i="4"/>
  <c r="Q16" i="4"/>
  <c r="O36" i="4"/>
  <c r="M36" i="4"/>
  <c r="N32" i="4"/>
  <c r="R28" i="4"/>
  <c r="L26" i="4"/>
  <c r="M24" i="4"/>
  <c r="L22" i="4"/>
  <c r="P14" i="4"/>
  <c r="N14" i="4"/>
  <c r="P6" i="4"/>
  <c r="T24" i="4"/>
  <c r="P28" i="4"/>
  <c r="T28" i="4"/>
  <c r="O8" i="4"/>
  <c r="T32" i="4"/>
  <c r="S26" i="4"/>
  <c r="L24" i="4"/>
  <c r="S20" i="4"/>
  <c r="N37" i="4"/>
  <c r="M35" i="4"/>
  <c r="N33" i="4"/>
  <c r="N29" i="4"/>
  <c r="T29" i="4"/>
  <c r="R29" i="4"/>
  <c r="M27" i="4"/>
  <c r="R25" i="4"/>
  <c r="L21" i="4"/>
  <c r="P21" i="4"/>
  <c r="P19" i="4"/>
  <c r="S19" i="4"/>
  <c r="T17" i="4"/>
  <c r="S13" i="4"/>
  <c r="N11" i="4"/>
  <c r="L11" i="4"/>
  <c r="S9" i="4"/>
  <c r="R9" i="4"/>
  <c r="L7" i="4"/>
  <c r="L5" i="4"/>
  <c r="M5" i="4"/>
  <c r="S34" i="4"/>
  <c r="Q32" i="4"/>
  <c r="M30" i="4"/>
  <c r="R4" i="4"/>
  <c r="S22" i="4"/>
  <c r="T34" i="4"/>
  <c r="N20" i="4"/>
  <c r="P16" i="4"/>
  <c r="S4" i="4"/>
  <c r="T37" i="4"/>
  <c r="O37" i="4"/>
  <c r="T35" i="4"/>
  <c r="R35" i="4"/>
  <c r="S33" i="4"/>
  <c r="L31" i="4"/>
  <c r="Q29" i="4"/>
  <c r="O29" i="4"/>
  <c r="N25" i="4"/>
  <c r="Q25" i="4"/>
  <c r="T23" i="4"/>
  <c r="P23" i="4"/>
  <c r="R21" i="4"/>
  <c r="Q19" i="4"/>
  <c r="Q13" i="4"/>
  <c r="O7" i="4"/>
  <c r="N5" i="4"/>
  <c r="Q5" i="4"/>
  <c r="Q14" i="4"/>
  <c r="O14" i="4"/>
  <c r="Q6" i="4"/>
  <c r="R32" i="4"/>
  <c r="R26" i="4"/>
  <c r="N18" i="4"/>
  <c r="S38" i="4"/>
  <c r="L8" i="4"/>
  <c r="S36" i="4"/>
  <c r="R37" i="4"/>
  <c r="O33" i="4"/>
  <c r="R31" i="4"/>
  <c r="M25" i="4"/>
  <c r="S21" i="4"/>
  <c r="S15" i="4"/>
  <c r="P15" i="4"/>
  <c r="Q9" i="4"/>
  <c r="R14" i="4"/>
  <c r="S12" i="4"/>
  <c r="M4" i="4"/>
  <c r="L32" i="4"/>
  <c r="Q36" i="4"/>
  <c r="R30" i="4"/>
  <c r="M26" i="4"/>
  <c r="Q22" i="4"/>
  <c r="R20" i="4"/>
  <c r="L14" i="4"/>
  <c r="M12" i="4"/>
  <c r="N10" i="4"/>
  <c r="L6" i="4"/>
  <c r="N4" i="4"/>
  <c r="P24" i="4"/>
  <c r="T36" i="4"/>
  <c r="S14" i="4"/>
  <c r="P34" i="4"/>
  <c r="N30" i="4"/>
  <c r="P26" i="4"/>
  <c r="T26" i="4"/>
  <c r="N22" i="4"/>
  <c r="Q20" i="4"/>
  <c r="S16" i="4"/>
  <c r="Q12" i="4"/>
  <c r="P8" i="4"/>
  <c r="Q18" i="4"/>
  <c r="P37" i="4"/>
  <c r="P35" i="4"/>
  <c r="P31" i="4"/>
  <c r="P29" i="4"/>
  <c r="S29" i="4"/>
  <c r="N27" i="4"/>
  <c r="O27" i="4"/>
  <c r="N23" i="4"/>
  <c r="L23" i="4"/>
  <c r="M21" i="4"/>
  <c r="T19" i="4"/>
  <c r="L19" i="4"/>
  <c r="O17" i="4"/>
  <c r="M15" i="4"/>
  <c r="O15" i="4"/>
  <c r="P13" i="4"/>
  <c r="R13" i="4"/>
  <c r="O13" i="4"/>
  <c r="M11" i="4"/>
  <c r="T11" i="4"/>
  <c r="P7" i="4"/>
  <c r="Q7" i="4"/>
  <c r="P5" i="4"/>
  <c r="R5" i="4"/>
  <c r="T18" i="4"/>
  <c r="N28" i="4"/>
  <c r="T22" i="4"/>
  <c r="R36" i="4"/>
  <c r="N36" i="4"/>
  <c r="R34" i="4"/>
  <c r="N34" i="4"/>
  <c r="M32" i="4"/>
  <c r="L30" i="4"/>
  <c r="M28" i="4"/>
  <c r="R24" i="4"/>
  <c r="R22" i="4"/>
  <c r="P20" i="4"/>
  <c r="M18" i="4"/>
  <c r="M16" i="4"/>
  <c r="L10" i="4"/>
  <c r="M6" i="4"/>
  <c r="P4" i="4"/>
  <c r="O4" i="4"/>
  <c r="P36" i="4"/>
  <c r="T20" i="4"/>
  <c r="O20" i="4"/>
  <c r="S11" i="4"/>
  <c r="L36" i="4"/>
  <c r="P30" i="4"/>
  <c r="P22" i="4"/>
  <c r="L20" i="4"/>
  <c r="N16" i="4"/>
  <c r="R12" i="4"/>
  <c r="N12" i="4"/>
  <c r="R15" i="4"/>
  <c r="R16" i="4"/>
  <c r="R8" i="4"/>
  <c r="Q37" i="4"/>
  <c r="S37" i="4"/>
  <c r="S35" i="4"/>
  <c r="O35" i="4"/>
  <c r="L33" i="4"/>
  <c r="Q31" i="4"/>
  <c r="T31" i="4"/>
  <c r="O31" i="4"/>
  <c r="M29" i="4"/>
  <c r="L27" i="4"/>
  <c r="R27" i="4"/>
  <c r="P25" i="4"/>
  <c r="S23" i="4"/>
  <c r="R23" i="4"/>
  <c r="N21" i="4"/>
  <c r="T21" i="4"/>
  <c r="Q21" i="4"/>
  <c r="O21" i="4"/>
  <c r="M19" i="4"/>
  <c r="M17" i="4"/>
  <c r="L17" i="4"/>
  <c r="Q17" i="4"/>
  <c r="Q15" i="4"/>
  <c r="T15" i="4"/>
  <c r="L15" i="4"/>
  <c r="T13" i="4"/>
  <c r="M13" i="4"/>
  <c r="Q11" i="4"/>
  <c r="M9" i="4"/>
  <c r="O9" i="4"/>
  <c r="S5" i="4"/>
  <c r="T5" i="4"/>
  <c r="O5" i="4"/>
  <c r="R18" i="4"/>
  <c r="R10" i="4"/>
  <c r="T10" i="4"/>
  <c r="O6" i="4"/>
  <c r="B17" i="4"/>
  <c r="K4" i="4"/>
  <c r="AT22" i="3"/>
  <c r="J11" i="4"/>
  <c r="F38" i="4"/>
  <c r="A15" i="4"/>
  <c r="A33" i="4"/>
  <c r="K21" i="4"/>
  <c r="B5" i="4"/>
  <c r="I7" i="4"/>
  <c r="I23" i="4"/>
  <c r="J21" i="4"/>
  <c r="F9" i="4"/>
  <c r="C28" i="4"/>
  <c r="I4" i="4"/>
  <c r="K20" i="4"/>
  <c r="B38" i="4"/>
  <c r="G32" i="4"/>
  <c r="H27" i="4"/>
  <c r="I34" i="4"/>
  <c r="C11" i="4"/>
  <c r="A25" i="4"/>
  <c r="A9" i="4"/>
  <c r="H9" i="4"/>
  <c r="H35" i="4"/>
  <c r="K29" i="4"/>
  <c r="J27" i="4"/>
  <c r="J4" i="4"/>
  <c r="B28" i="4"/>
  <c r="K9" i="4"/>
  <c r="F7" i="4"/>
  <c r="B25" i="4"/>
  <c r="J13" i="4"/>
  <c r="J30" i="4"/>
  <c r="J38" i="4"/>
  <c r="C19" i="4"/>
  <c r="B22" i="4"/>
  <c r="I9" i="4"/>
  <c r="I16" i="4"/>
  <c r="H11" i="4"/>
  <c r="G30" i="4"/>
  <c r="G36" i="4"/>
  <c r="B16" i="4"/>
  <c r="B26" i="4"/>
  <c r="G35" i="4"/>
  <c r="G25" i="4"/>
  <c r="G17" i="4"/>
  <c r="I17" i="4"/>
  <c r="J31" i="4"/>
  <c r="G27" i="4"/>
  <c r="A11" i="4"/>
  <c r="I30" i="4"/>
  <c r="K25" i="4"/>
  <c r="I24" i="4"/>
  <c r="H25" i="4"/>
  <c r="I32" i="4"/>
  <c r="G24" i="4"/>
  <c r="G26" i="4"/>
  <c r="B35" i="4"/>
  <c r="C13" i="4"/>
  <c r="B33" i="4"/>
  <c r="G33" i="4"/>
  <c r="A27" i="4"/>
  <c r="C25" i="4"/>
  <c r="A31" i="4"/>
  <c r="G18" i="4"/>
  <c r="F17" i="4"/>
  <c r="H10" i="4"/>
  <c r="F12" i="4"/>
  <c r="C32" i="4"/>
  <c r="F33" i="4"/>
  <c r="C35" i="4"/>
  <c r="G37" i="4"/>
  <c r="H33" i="4"/>
  <c r="H23" i="4"/>
  <c r="A19" i="4"/>
  <c r="G11" i="4"/>
  <c r="I26" i="4"/>
  <c r="J14" i="4"/>
  <c r="J35" i="4"/>
  <c r="A35" i="4"/>
  <c r="K35" i="4"/>
  <c r="B29" i="4"/>
  <c r="G29" i="4"/>
  <c r="B21" i="4"/>
  <c r="G13" i="4"/>
  <c r="C9" i="4"/>
  <c r="G10" i="4"/>
  <c r="A23" i="4"/>
  <c r="G23" i="4"/>
  <c r="J25" i="4"/>
  <c r="G14" i="4"/>
  <c r="I8" i="4"/>
  <c r="H31" i="4"/>
  <c r="F27" i="4"/>
  <c r="I15" i="4"/>
  <c r="C24" i="4"/>
  <c r="F6" i="4"/>
  <c r="C29" i="4"/>
  <c r="A17" i="4"/>
  <c r="F28" i="4"/>
  <c r="C12" i="4"/>
  <c r="G34" i="4"/>
  <c r="C37" i="4"/>
  <c r="H6" i="4"/>
  <c r="D4" i="4"/>
  <c r="G16" i="4"/>
  <c r="G8" i="4"/>
  <c r="K31" i="4"/>
  <c r="H19" i="4"/>
  <c r="F13" i="4"/>
  <c r="J9" i="4"/>
  <c r="B12" i="4"/>
  <c r="I28" i="4"/>
  <c r="B24" i="4"/>
  <c r="B8" i="4"/>
  <c r="H38" i="4"/>
  <c r="G6" i="4"/>
  <c r="F15" i="4"/>
  <c r="I25" i="4"/>
  <c r="J17" i="4"/>
  <c r="H8" i="4"/>
  <c r="I10" i="4"/>
  <c r="J7" i="4"/>
  <c r="H29" i="4"/>
  <c r="H5" i="4"/>
  <c r="I20" i="4"/>
  <c r="I12" i="4"/>
  <c r="G22" i="4"/>
  <c r="J19" i="4"/>
  <c r="F25" i="4"/>
  <c r="F21" i="4"/>
  <c r="H13" i="4"/>
  <c r="J5" i="4"/>
  <c r="F31" i="4"/>
  <c r="I11" i="4"/>
  <c r="H17" i="4"/>
  <c r="I33" i="4"/>
  <c r="B20" i="4"/>
  <c r="K5" i="4"/>
  <c r="J8" i="4"/>
  <c r="J16" i="4"/>
  <c r="F26" i="4"/>
  <c r="F32" i="4"/>
  <c r="I18" i="4"/>
  <c r="F11" i="4"/>
  <c r="G7" i="4"/>
  <c r="G28" i="4"/>
  <c r="F20" i="4"/>
  <c r="F24" i="4"/>
  <c r="K32" i="4"/>
  <c r="K24" i="4"/>
  <c r="K14" i="4"/>
  <c r="J10" i="4"/>
  <c r="C16" i="4"/>
  <c r="C21" i="4"/>
  <c r="A18" i="4"/>
  <c r="H37" i="4"/>
  <c r="B37" i="4"/>
  <c r="K37" i="4"/>
  <c r="C31" i="4"/>
  <c r="B31" i="4"/>
  <c r="B27" i="4"/>
  <c r="I27" i="4"/>
  <c r="C23" i="4"/>
  <c r="J23" i="4"/>
  <c r="B23" i="4"/>
  <c r="F23" i="4"/>
  <c r="G19" i="4"/>
  <c r="I19" i="4"/>
  <c r="F19" i="4"/>
  <c r="J15" i="4"/>
  <c r="C7" i="4"/>
  <c r="H7" i="4"/>
  <c r="F14" i="4"/>
  <c r="A20" i="4"/>
  <c r="B30" i="4"/>
  <c r="J26" i="4"/>
  <c r="F22" i="4"/>
  <c r="C22" i="4"/>
  <c r="F18" i="4"/>
  <c r="B6" i="4"/>
  <c r="C4" i="4"/>
  <c r="B36" i="4"/>
  <c r="A28" i="4"/>
  <c r="I35" i="4"/>
  <c r="B13" i="4"/>
  <c r="G9" i="4"/>
  <c r="C5" i="4"/>
  <c r="A5" i="4"/>
  <c r="F5" i="4"/>
  <c r="C36" i="4"/>
  <c r="B32" i="4"/>
  <c r="J24" i="4"/>
  <c r="H16" i="4"/>
  <c r="F16" i="4"/>
  <c r="H28" i="4"/>
  <c r="H30" i="4"/>
  <c r="H34" i="4"/>
  <c r="C20" i="4"/>
  <c r="K30" i="4"/>
  <c r="I22" i="4"/>
  <c r="G20" i="4"/>
  <c r="I14" i="4"/>
  <c r="G12" i="4"/>
  <c r="K8" i="4"/>
  <c r="I6" i="4"/>
  <c r="H14" i="4"/>
  <c r="G38" i="4"/>
  <c r="C27" i="4"/>
  <c r="A21" i="4"/>
  <c r="F37" i="4"/>
  <c r="J33" i="4"/>
  <c r="C33" i="4"/>
  <c r="G31" i="4"/>
  <c r="I31" i="4"/>
  <c r="K27" i="4"/>
  <c r="K23" i="4"/>
  <c r="C15" i="4"/>
  <c r="H15" i="4"/>
  <c r="J22" i="4"/>
  <c r="H18" i="4"/>
  <c r="B14" i="4"/>
  <c r="F10" i="4"/>
  <c r="J6" i="4"/>
  <c r="C8" i="4"/>
  <c r="A7" i="4"/>
  <c r="F35" i="4"/>
  <c r="F29" i="4"/>
  <c r="A29" i="4"/>
  <c r="G21" i="4"/>
  <c r="H21" i="4"/>
  <c r="C17" i="4"/>
  <c r="K13" i="4"/>
  <c r="B9" i="4"/>
  <c r="G5" i="4"/>
  <c r="A32" i="4"/>
  <c r="K22" i="4"/>
  <c r="K6" i="4"/>
  <c r="J12" i="4"/>
  <c r="F8" i="4"/>
  <c r="G15" i="4"/>
  <c r="A16" i="4"/>
  <c r="H12" i="4"/>
  <c r="E4" i="4"/>
  <c r="K36" i="4"/>
  <c r="K28" i="4"/>
  <c r="K18" i="4"/>
  <c r="K10" i="4"/>
  <c r="A26" i="4"/>
  <c r="B11" i="4"/>
  <c r="F34" i="4"/>
  <c r="C6" i="4"/>
  <c r="A12" i="4"/>
  <c r="I29" i="4"/>
  <c r="A36" i="4"/>
  <c r="J36" i="4"/>
  <c r="J28" i="4"/>
  <c r="C18" i="4"/>
  <c r="A14" i="4"/>
  <c r="K38" i="4"/>
  <c r="C26" i="4"/>
  <c r="A22" i="4"/>
  <c r="C10" i="4"/>
  <c r="H20" i="4"/>
  <c r="K34" i="4"/>
  <c r="K26" i="4"/>
  <c r="C38" i="4"/>
  <c r="A10" i="4"/>
  <c r="A34" i="4"/>
  <c r="B19" i="4"/>
  <c r="A30" i="4"/>
  <c r="C30" i="4"/>
  <c r="C14" i="4"/>
  <c r="A6" i="4"/>
  <c r="C34" i="4"/>
  <c r="H36" i="4"/>
  <c r="A24" i="4"/>
  <c r="J20" i="4"/>
  <c r="A8" i="4"/>
  <c r="K12" i="4" l="1"/>
</calcChain>
</file>

<file path=xl/sharedStrings.xml><?xml version="1.0" encoding="utf-8"?>
<sst xmlns="http://schemas.openxmlformats.org/spreadsheetml/2006/main" count="103" uniqueCount="80">
  <si>
    <t>Instructions for the Users:</t>
  </si>
  <si>
    <t>local radius [m]</t>
  </si>
  <si>
    <t>chord length [m]</t>
  </si>
  <si>
    <t>Twist [deg]</t>
  </si>
  <si>
    <t>Insert your values</t>
  </si>
  <si>
    <t>What's going on in the sheet?</t>
  </si>
  <si>
    <t>1. The cylinder/airfoil profile has been translated to locate the center of the airfoil chord  at the origin (cells (J,k) and (O,P))</t>
  </si>
  <si>
    <t>2. Airfoil/cylinder has been scaled up by the factor of the chord length/diameter, transformed to [mm], and the coordinates are now rotated about the origin by the respective twist angle (from cell R on)</t>
  </si>
  <si>
    <t>3. The coordinates are put together, along with the Z coordinate, which is the local radius, separated by commas (in next sheet "3-Data to be imported to Fusion"). Those are the data you will import to Fusion360 when you will start with your CAD design</t>
  </si>
  <si>
    <t>Section 1: cylinder</t>
  </si>
  <si>
    <t>Other sections: airfoil</t>
  </si>
  <si>
    <t>Section1 (cylinder)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</si>
  <si>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</si>
  <si>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</si>
  <si>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</si>
  <si>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</si>
  <si>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</si>
  <si>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</si>
  <si>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</si>
  <si>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</si>
  <si>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</si>
  <si>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</si>
  <si>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</si>
  <si>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</si>
  <si>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</si>
  <si>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</si>
  <si>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</si>
  <si>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</si>
  <si>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</si>
  <si>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x/c</t>
  </si>
  <si>
    <t>y/c</t>
  </si>
  <si>
    <t>Translated x/c</t>
  </si>
  <si>
    <t>Translated y/c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</si>
  <si>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</si>
  <si>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</si>
  <si>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</si>
  <si>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</si>
  <si>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</si>
  <si>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</si>
  <si>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</si>
  <si>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</si>
  <si>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</si>
  <si>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</si>
  <si>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</si>
  <si>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</si>
  <si>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</si>
  <si>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</si>
  <si>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</si>
  <si>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</si>
  <si>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</si>
  <si>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</si>
  <si>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</si>
  <si>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</si>
  <si>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</si>
  <si>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</si>
  <si>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</si>
  <si>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</si>
  <si>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</si>
  <si>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</si>
  <si>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</si>
  <si>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</si>
  <si>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</si>
  <si>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</si>
  <si>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</si>
  <si>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</si>
  <si>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</si>
  <si>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</si>
  <si>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</si>
  <si>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</si>
  <si>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</si>
  <si>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</si>
  <si>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</si>
  <si>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</si>
  <si>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The concatenation is done in this sheet. You need to add columns if you have more sections.</t>
  </si>
  <si>
    <t>Section 1</t>
  </si>
  <si>
    <t>Section 19</t>
  </si>
  <si>
    <t>Section 20</t>
  </si>
  <si>
    <t>1. Copy paste your values of local radius, chord length and twist angle from Excel file attached to Assignment 4 'Adjust blade geometry_Fall26' (cells A to C)</t>
  </si>
  <si>
    <t>2. Copy the relative coordinates (i.e. x/c and y/c) in the designated columns (cells J and K)</t>
  </si>
  <si>
    <t>3. If the number of coordinates for your airfoil is more than the table marked below, extend the columns named 'Translated x/c', 'Translated y/c', 'Section 2' and so on upto the same number of rows as your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</si>
</sst>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" xfId="0" applyFon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3" xfId="0" applyFont="1" applyBorder="1"/>
    <xf numFmtId="0" fontId="0" fillId="0" borderId="0" xfId="0" applyAlignment="1">
      <alignment horizontal="right"/>
    </xf>
    <xf numFmtId="0" fontId="0" fillId="0" borderId="17" xfId="0" applyBorder="1"/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0" fillId="2" borderId="0" xfId="0" applyFill="1"/>
    <xf numFmtId="164" fontId="0" fillId="0" borderId="0" xfId="0" applyNumberFormat="1"/>
    <xf numFmtId="0" fontId="0" fillId="0" borderId="25" xfId="0" applyBorder="1"/>
    <xf numFmtId="2" fontId="1" fillId="0" borderId="0" xfId="0" applyNumberFormat="1" applyFont="1" applyAlignment="1">
      <alignment vertical="center" wrapText="1"/>
    </xf>
    <xf numFmtId="0" fontId="0" fillId="0" borderId="26" xfId="0" applyBorder="1"/>
    <xf numFmtId="0" fontId="0" fillId="0" borderId="27" xfId="0" applyBorder="1"/>
    <xf numFmtId="164" fontId="1" fillId="0" borderId="4" xfId="0" applyNumberFormat="1" applyFont="1" applyBorder="1" applyAlignment="1">
      <alignment vertical="center" wrapText="1"/>
    </xf>
    <xf numFmtId="164" fontId="0" fillId="0" borderId="4" xfId="0" applyNumberFormat="1" applyBorder="1"/>
    <xf numFmtId="164" fontId="0" fillId="0" borderId="6" xfId="0" applyNumberFormat="1" applyBorder="1"/>
    <xf numFmtId="0" fontId="0" fillId="0" borderId="24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30" xfId="0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5" xfId="0" applyFont="1" applyBorder="1"/>
    <xf numFmtId="0" fontId="0" fillId="2" borderId="8" xfId="0" applyFill="1" applyBorder="1"/>
    <xf numFmtId="0" fontId="0" fillId="2" borderId="34" xfId="0" applyFill="1" applyBorder="1"/>
    <xf numFmtId="0" fontId="0" fillId="2" borderId="4" xfId="0" applyFill="1" applyBorder="1"/>
    <xf numFmtId="0" fontId="0" fillId="2" borderId="28" xfId="0" applyFill="1" applyBorder="1"/>
    <xf numFmtId="0" fontId="0" fillId="2" borderId="6" xfId="0" applyFill="1" applyBorder="1"/>
    <xf numFmtId="0" fontId="0" fillId="2" borderId="29" xfId="0" applyFill="1" applyBorder="1"/>
    <xf numFmtId="0" fontId="3" fillId="0" borderId="36" xfId="0" applyFont="1" applyBorder="1"/>
    <xf numFmtId="0" fontId="3" fillId="0" borderId="37" xfId="0" applyFont="1" applyBorder="1"/>
    <xf numFmtId="0" fontId="0" fillId="0" borderId="2" xfId="0" applyBorder="1"/>
    <xf numFmtId="0" fontId="0" fillId="0" borderId="3" xfId="0" applyBorder="1"/>
    <xf numFmtId="0" fontId="3" fillId="0" borderId="23" xfId="0" applyFont="1" applyBorder="1"/>
    <xf numFmtId="0" fontId="0" fillId="0" borderId="38" xfId="0" applyBorder="1"/>
    <xf numFmtId="0" fontId="0" fillId="0" borderId="39" xfId="0" applyBorder="1"/>
    <xf numFmtId="0" fontId="0" fillId="2" borderId="0" xfId="0" applyFill="1" applyAlignment="1">
      <alignment horizontal="right"/>
    </xf>
    <xf numFmtId="0" fontId="3" fillId="3" borderId="40" xfId="0" applyFont="1" applyFill="1" applyBorder="1"/>
    <xf numFmtId="0" fontId="0" fillId="3" borderId="18" xfId="0" applyFill="1" applyBorder="1"/>
    <xf numFmtId="0" fontId="0" fillId="3" borderId="13" xfId="0" applyFill="1" applyBorder="1"/>
    <xf numFmtId="0" fontId="3" fillId="4" borderId="40" xfId="0" applyFont="1" applyFill="1" applyBorder="1"/>
    <xf numFmtId="0" fontId="0" fillId="4" borderId="18" xfId="0" applyFill="1" applyBorder="1"/>
    <xf numFmtId="0" fontId="0" fillId="4" borderId="13" xfId="0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Airfoil (other blade sections)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'1-Blade sections'!$J$14:$J$48</c:f>
              <c:numCache>
                <c:formatCode>General</c:formatCode>
                <c:ptCount val="35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0.6</c:v>
                </c:pt>
                <c:pt idx="6">
                  <c:v>0.5</c:v>
                </c:pt>
                <c:pt idx="7">
                  <c:v>0.4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7.4999999999999997E-2</c:v>
                </c:pt>
                <c:pt idx="14">
                  <c:v>0.05</c:v>
                </c:pt>
                <c:pt idx="15">
                  <c:v>2.5000000000000001E-2</c:v>
                </c:pt>
                <c:pt idx="16">
                  <c:v>1.2500000000000001E-2</c:v>
                </c:pt>
                <c:pt idx="17">
                  <c:v>0</c:v>
                </c:pt>
                <c:pt idx="18">
                  <c:v>1.2500000000000001E-2</c:v>
                </c:pt>
                <c:pt idx="19">
                  <c:v>2.5000000000000001E-2</c:v>
                </c:pt>
                <c:pt idx="20">
                  <c:v>0.05</c:v>
                </c:pt>
                <c:pt idx="21">
                  <c:v>7.4999999999999997E-2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0.4</c:v>
                </c:pt>
                <c:pt idx="28">
                  <c:v>0.5</c:v>
                </c:pt>
                <c:pt idx="29">
                  <c:v>0.6</c:v>
                </c:pt>
                <c:pt idx="30">
                  <c:v>0.7</c:v>
                </c:pt>
                <c:pt idx="31">
                  <c:v>0.8</c:v>
                </c:pt>
                <c:pt idx="32">
                  <c:v>0.9</c:v>
                </c:pt>
                <c:pt idx="33">
                  <c:v>0.95</c:v>
                </c:pt>
                <c:pt idx="34">
                  <c:v>1</c:v>
                </c:pt>
              </c:numCache>
            </c:numRef>
          </c:xVal>
          <c:yVal>
            <c:numRef>
              <c:f>'1-Blade sections'!$K$14:$K$48</c:f>
              <c:numCache>
                <c:formatCode>General</c:formatCode>
                <c:ptCount val="35"/>
                <c:pt idx="0">
                  <c:v>1.6000000000000001E-3</c:v>
                </c:pt>
                <c:pt idx="1">
                  <c:v>1.12E-2</c:v>
                </c:pt>
                <c:pt idx="2">
                  <c:v>2.0400000000000001E-2</c:v>
                </c:pt>
                <c:pt idx="3">
                  <c:v>3.73E-2</c:v>
                </c:pt>
                <c:pt idx="4">
                  <c:v>5.2499999999999998E-2</c:v>
                </c:pt>
                <c:pt idx="5">
                  <c:v>6.6100000000000006E-2</c:v>
                </c:pt>
                <c:pt idx="6">
                  <c:v>7.7399999999999997E-2</c:v>
                </c:pt>
                <c:pt idx="7">
                  <c:v>8.5900000000000004E-2</c:v>
                </c:pt>
                <c:pt idx="8">
                  <c:v>9.0499999999999997E-2</c:v>
                </c:pt>
                <c:pt idx="9">
                  <c:v>9.0800000000000006E-2</c:v>
                </c:pt>
                <c:pt idx="10">
                  <c:v>8.9200000000000002E-2</c:v>
                </c:pt>
                <c:pt idx="11">
                  <c:v>8.5199999999999998E-2</c:v>
                </c:pt>
                <c:pt idx="12">
                  <c:v>7.6399999999999996E-2</c:v>
                </c:pt>
                <c:pt idx="13">
                  <c:v>6.9000000000000006E-2</c:v>
                </c:pt>
                <c:pt idx="14">
                  <c:v>5.8900000000000001E-2</c:v>
                </c:pt>
                <c:pt idx="15">
                  <c:v>4.4400000000000002E-2</c:v>
                </c:pt>
                <c:pt idx="16">
                  <c:v>3.3399999999999999E-2</c:v>
                </c:pt>
                <c:pt idx="17">
                  <c:v>0</c:v>
                </c:pt>
                <c:pt idx="18">
                  <c:v>-1.54E-2</c:v>
                </c:pt>
                <c:pt idx="19">
                  <c:v>-2.2499999999999999E-2</c:v>
                </c:pt>
                <c:pt idx="20">
                  <c:v>-3.04E-2</c:v>
                </c:pt>
                <c:pt idx="21">
                  <c:v>-3.61E-2</c:v>
                </c:pt>
                <c:pt idx="22">
                  <c:v>-4.0899999999999999E-2</c:v>
                </c:pt>
                <c:pt idx="23">
                  <c:v>-4.8399999999999999E-2</c:v>
                </c:pt>
                <c:pt idx="24">
                  <c:v>-5.4100000000000002E-2</c:v>
                </c:pt>
                <c:pt idx="25">
                  <c:v>-5.7799999999999997E-2</c:v>
                </c:pt>
                <c:pt idx="26">
                  <c:v>-5.96E-2</c:v>
                </c:pt>
                <c:pt idx="27">
                  <c:v>-5.9200000000000003E-2</c:v>
                </c:pt>
                <c:pt idx="28">
                  <c:v>-5.5E-2</c:v>
                </c:pt>
                <c:pt idx="29">
                  <c:v>-4.8099999999999997E-2</c:v>
                </c:pt>
                <c:pt idx="30">
                  <c:v>-3.9100000000000003E-2</c:v>
                </c:pt>
                <c:pt idx="31">
                  <c:v>-2.8299999999999999E-2</c:v>
                </c:pt>
                <c:pt idx="32">
                  <c:v>-1.5900000000000001E-2</c:v>
                </c:pt>
                <c:pt idx="33">
                  <c:v>-8.9999999999999993E-3</c:v>
                </c:pt>
                <c:pt idx="34">
                  <c:v>-1.6000000000000001E-3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23-404E-90D6-6CD20234BB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'1-Blade sections'!$L$14:$L$48</c:f>
              <c:numCache>
                <c:formatCode>General</c:formatCode>
                <c:ptCount val="35"/>
                <c:pt idx="0">
                  <c:v>0.5</c:v>
                </c:pt>
                <c:pt idx="1">
                  <c:v>0.44999999999999996</c:v>
                </c:pt>
                <c:pt idx="2">
                  <c:v>0.4</c:v>
                </c:pt>
                <c:pt idx="3">
                  <c:v>0.30000000000000004</c:v>
                </c:pt>
                <c:pt idx="4">
                  <c:v>0.19999999999999996</c:v>
                </c:pt>
                <c:pt idx="5">
                  <c:v>9.9999999999999978E-2</c:v>
                </c:pt>
                <c:pt idx="6">
                  <c:v>0</c:v>
                </c:pt>
                <c:pt idx="7">
                  <c:v>-9.9999999999999978E-2</c:v>
                </c:pt>
                <c:pt idx="8">
                  <c:v>-0.2</c:v>
                </c:pt>
                <c:pt idx="9">
                  <c:v>-0.25</c:v>
                </c:pt>
                <c:pt idx="10">
                  <c:v>-0.3</c:v>
                </c:pt>
                <c:pt idx="11">
                  <c:v>-0.35</c:v>
                </c:pt>
                <c:pt idx="12">
                  <c:v>-0.4</c:v>
                </c:pt>
                <c:pt idx="13">
                  <c:v>-0.42499999999999999</c:v>
                </c:pt>
                <c:pt idx="14">
                  <c:v>-0.45</c:v>
                </c:pt>
                <c:pt idx="15">
                  <c:v>-0.47499999999999998</c:v>
                </c:pt>
                <c:pt idx="16">
                  <c:v>-0.48749999999999999</c:v>
                </c:pt>
                <c:pt idx="17">
                  <c:v>-0.5</c:v>
                </c:pt>
                <c:pt idx="18">
                  <c:v>-0.48749999999999999</c:v>
                </c:pt>
                <c:pt idx="19">
                  <c:v>-0.47499999999999998</c:v>
                </c:pt>
                <c:pt idx="20">
                  <c:v>-0.45</c:v>
                </c:pt>
                <c:pt idx="21">
                  <c:v>-0.42499999999999999</c:v>
                </c:pt>
                <c:pt idx="22">
                  <c:v>-0.4</c:v>
                </c:pt>
                <c:pt idx="23">
                  <c:v>-0.35</c:v>
                </c:pt>
                <c:pt idx="24">
                  <c:v>-0.3</c:v>
                </c:pt>
                <c:pt idx="25">
                  <c:v>-0.25</c:v>
                </c:pt>
                <c:pt idx="26">
                  <c:v>-0.2</c:v>
                </c:pt>
                <c:pt idx="27">
                  <c:v>-9.9999999999999978E-2</c:v>
                </c:pt>
                <c:pt idx="28">
                  <c:v>0</c:v>
                </c:pt>
                <c:pt idx="29">
                  <c:v>9.9999999999999978E-2</c:v>
                </c:pt>
                <c:pt idx="30">
                  <c:v>0.19999999999999996</c:v>
                </c:pt>
                <c:pt idx="31">
                  <c:v>0.30000000000000004</c:v>
                </c:pt>
                <c:pt idx="32">
                  <c:v>0.4</c:v>
                </c:pt>
                <c:pt idx="33">
                  <c:v>0.44999999999999996</c:v>
                </c:pt>
                <c:pt idx="34">
                  <c:v>0.5</c:v>
                </c:pt>
              </c:numCache>
            </c:numRef>
          </c:xVal>
          <c:yVal>
            <c:numRef>
              <c:f>'1-Blade sections'!$M$14:$M$48</c:f>
              <c:numCache>
                <c:formatCode>General</c:formatCode>
                <c:ptCount val="35"/>
                <c:pt idx="0">
                  <c:v>8.0000000000000004E-4</c:v>
                </c:pt>
                <c:pt idx="1">
                  <c:v>1.04E-2</c:v>
                </c:pt>
                <c:pt idx="2">
                  <c:v>1.9600000000000003E-2</c:v>
                </c:pt>
                <c:pt idx="3">
                  <c:v>3.6499999999999998E-2</c:v>
                </c:pt>
                <c:pt idx="4">
                  <c:v>5.1699999999999996E-2</c:v>
                </c:pt>
                <c:pt idx="5">
                  <c:v>6.5300000000000011E-2</c:v>
                </c:pt>
                <c:pt idx="6">
                  <c:v>7.6600000000000001E-2</c:v>
                </c:pt>
                <c:pt idx="7">
                  <c:v>8.5100000000000009E-2</c:v>
                </c:pt>
                <c:pt idx="8">
                  <c:v>8.9700000000000002E-2</c:v>
                </c:pt>
                <c:pt idx="9">
                  <c:v>9.0000000000000011E-2</c:v>
                </c:pt>
                <c:pt idx="10">
                  <c:v>8.8400000000000006E-2</c:v>
                </c:pt>
                <c:pt idx="11">
                  <c:v>8.4400000000000003E-2</c:v>
                </c:pt>
                <c:pt idx="12">
                  <c:v>7.5600000000000001E-2</c:v>
                </c:pt>
                <c:pt idx="13">
                  <c:v>6.8200000000000011E-2</c:v>
                </c:pt>
                <c:pt idx="14">
                  <c:v>5.8099999999999999E-2</c:v>
                </c:pt>
                <c:pt idx="15">
                  <c:v>4.36E-2</c:v>
                </c:pt>
                <c:pt idx="16">
                  <c:v>3.2599999999999997E-2</c:v>
                </c:pt>
                <c:pt idx="17">
                  <c:v>-8.0000000000000004E-4</c:v>
                </c:pt>
                <c:pt idx="18">
                  <c:v>-1.6199999999999999E-2</c:v>
                </c:pt>
                <c:pt idx="19">
                  <c:v>-2.3299999999999998E-2</c:v>
                </c:pt>
                <c:pt idx="20">
                  <c:v>-3.1199999999999999E-2</c:v>
                </c:pt>
                <c:pt idx="21">
                  <c:v>-3.6900000000000002E-2</c:v>
                </c:pt>
                <c:pt idx="22">
                  <c:v>-4.1700000000000001E-2</c:v>
                </c:pt>
                <c:pt idx="23">
                  <c:v>-4.9200000000000001E-2</c:v>
                </c:pt>
                <c:pt idx="24">
                  <c:v>-5.4900000000000004E-2</c:v>
                </c:pt>
                <c:pt idx="25">
                  <c:v>-5.8599999999999999E-2</c:v>
                </c:pt>
                <c:pt idx="26">
                  <c:v>-6.0400000000000002E-2</c:v>
                </c:pt>
                <c:pt idx="27">
                  <c:v>-6.0000000000000005E-2</c:v>
                </c:pt>
                <c:pt idx="28">
                  <c:v>-5.5800000000000002E-2</c:v>
                </c:pt>
                <c:pt idx="29">
                  <c:v>-4.8899999999999999E-2</c:v>
                </c:pt>
                <c:pt idx="30">
                  <c:v>-3.9900000000000005E-2</c:v>
                </c:pt>
                <c:pt idx="31">
                  <c:v>-2.9099999999999997E-2</c:v>
                </c:pt>
                <c:pt idx="32">
                  <c:v>-1.67E-2</c:v>
                </c:pt>
                <c:pt idx="33">
                  <c:v>-9.7999999999999997E-3</c:v>
                </c:pt>
                <c:pt idx="34">
                  <c:v>-2.4000000000000002E-3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23-404E-90D6-6CD20234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028768"/>
        <c:axId val="1090029128"/>
      </c:scatterChart>
      <c:valAx>
        <c:axId val="109002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90029128"/>
        <c:crosses val="autoZero"/>
        <c:crossBetween val="midCat"/>
      </c:valAx>
      <c:valAx>
        <c:axId val="109002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9002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Cylinder</a:t>
            </a:r>
            <a:r>
              <a:rPr lang="en-GB" baseline="0"/>
              <a:t> (section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'1-Blade sections'!$E$14:$E$46</c:f>
              <c:numCache>
                <c:formatCode>0.0000</c:formatCode>
                <c:ptCount val="33"/>
                <c:pt idx="0">
                  <c:v>1</c:v>
                </c:pt>
                <c:pt idx="1">
                  <c:v>0.99080999999999997</c:v>
                </c:pt>
                <c:pt idx="2">
                  <c:v>0.96358999999999995</c:v>
                </c:pt>
                <c:pt idx="3">
                  <c:v>0.91934000000000005</c:v>
                </c:pt>
                <c:pt idx="4">
                  <c:v>0.85967000000000005</c:v>
                </c:pt>
                <c:pt idx="5">
                  <c:v>0.78678999999999999</c:v>
                </c:pt>
                <c:pt idx="6">
                  <c:v>0.70337000000000005</c:v>
                </c:pt>
                <c:pt idx="7">
                  <c:v>0.61248000000000002</c:v>
                </c:pt>
                <c:pt idx="8">
                  <c:v>0.51744999999999997</c:v>
                </c:pt>
                <c:pt idx="9">
                  <c:v>0.42177999999999999</c:v>
                </c:pt>
                <c:pt idx="10">
                  <c:v>0.32899</c:v>
                </c:pt>
                <c:pt idx="11">
                  <c:v>0.24248</c:v>
                </c:pt>
                <c:pt idx="12">
                  <c:v>0.16542999999999999</c:v>
                </c:pt>
                <c:pt idx="13">
                  <c:v>0.10068000000000001</c:v>
                </c:pt>
                <c:pt idx="14">
                  <c:v>5.0599999999999999E-2</c:v>
                </c:pt>
                <c:pt idx="15">
                  <c:v>1.704E-2</c:v>
                </c:pt>
                <c:pt idx="16">
                  <c:v>1.2199999999999999E-3</c:v>
                </c:pt>
                <c:pt idx="17">
                  <c:v>3.7299999999999998E-3</c:v>
                </c:pt>
                <c:pt idx="18">
                  <c:v>2.4469999999999999E-2</c:v>
                </c:pt>
                <c:pt idx="19">
                  <c:v>6.2689999999999996E-2</c:v>
                </c:pt>
                <c:pt idx="20">
                  <c:v>0.11698</c:v>
                </c:pt>
                <c:pt idx="21">
                  <c:v>0.18534</c:v>
                </c:pt>
                <c:pt idx="22">
                  <c:v>0.26526</c:v>
                </c:pt>
                <c:pt idx="23">
                  <c:v>0.35381000000000001</c:v>
                </c:pt>
                <c:pt idx="24">
                  <c:v>0.44774000000000003</c:v>
                </c:pt>
                <c:pt idx="25">
                  <c:v>0.54357999999999995</c:v>
                </c:pt>
                <c:pt idx="26">
                  <c:v>0.63782000000000005</c:v>
                </c:pt>
                <c:pt idx="27">
                  <c:v>0.72699999999999998</c:v>
                </c:pt>
                <c:pt idx="28">
                  <c:v>0.80783000000000005</c:v>
                </c:pt>
                <c:pt idx="29">
                  <c:v>0.87734999999999996</c:v>
                </c:pt>
                <c:pt idx="30">
                  <c:v>0.93301000000000001</c:v>
                </c:pt>
                <c:pt idx="31">
                  <c:v>0.97275999999999996</c:v>
                </c:pt>
                <c:pt idx="32">
                  <c:v>0.99512999999999996</c:v>
                </c:pt>
              </c:numCache>
            </c:numRef>
          </c:xVal>
          <c:yVal>
            <c:numRef>
              <c:f>'1-Blade sections'!$F$14:$F$46</c:f>
              <c:numCache>
                <c:formatCode>0.0000</c:formatCode>
                <c:ptCount val="33"/>
                <c:pt idx="0">
                  <c:v>0</c:v>
                </c:pt>
                <c:pt idx="1">
                  <c:v>9.5399999999999999E-2</c:v>
                </c:pt>
                <c:pt idx="2">
                  <c:v>0.18729999999999999</c:v>
                </c:pt>
                <c:pt idx="3">
                  <c:v>0.27232000000000001</c:v>
                </c:pt>
                <c:pt idx="4">
                  <c:v>0.34733000000000003</c:v>
                </c:pt>
                <c:pt idx="5">
                  <c:v>0.40958</c:v>
                </c:pt>
                <c:pt idx="6">
                  <c:v>0.45677000000000001</c:v>
                </c:pt>
                <c:pt idx="7">
                  <c:v>0.48719000000000001</c:v>
                </c:pt>
                <c:pt idx="8">
                  <c:v>0.49969999999999998</c:v>
                </c:pt>
                <c:pt idx="9">
                  <c:v>0.49384</c:v>
                </c:pt>
                <c:pt idx="10">
                  <c:v>0.46984999999999999</c:v>
                </c:pt>
                <c:pt idx="11">
                  <c:v>0.42858000000000002</c:v>
                </c:pt>
                <c:pt idx="12">
                  <c:v>0.37157000000000001</c:v>
                </c:pt>
                <c:pt idx="13">
                  <c:v>0.30091000000000001</c:v>
                </c:pt>
                <c:pt idx="14">
                  <c:v>0.21919</c:v>
                </c:pt>
                <c:pt idx="15">
                  <c:v>0.12941</c:v>
                </c:pt>
                <c:pt idx="16">
                  <c:v>3.4880000000000001E-2</c:v>
                </c:pt>
                <c:pt idx="17">
                  <c:v>-6.0929999999999998E-2</c:v>
                </c:pt>
                <c:pt idx="18">
                  <c:v>-0.15451000000000001</c:v>
                </c:pt>
                <c:pt idx="19">
                  <c:v>-0.2424</c:v>
                </c:pt>
                <c:pt idx="20">
                  <c:v>-0.32139000000000001</c:v>
                </c:pt>
                <c:pt idx="21">
                  <c:v>-0.38857000000000003</c:v>
                </c:pt>
                <c:pt idx="22">
                  <c:v>-0.44146999999999997</c:v>
                </c:pt>
                <c:pt idx="23">
                  <c:v>-0.47815000000000002</c:v>
                </c:pt>
                <c:pt idx="24">
                  <c:v>-0.49725999999999998</c:v>
                </c:pt>
                <c:pt idx="25">
                  <c:v>-0.49809999999999999</c:v>
                </c:pt>
                <c:pt idx="26">
                  <c:v>-0.48063</c:v>
                </c:pt>
                <c:pt idx="27">
                  <c:v>-0.44550000000000001</c:v>
                </c:pt>
                <c:pt idx="28">
                  <c:v>-0.39401000000000003</c:v>
                </c:pt>
                <c:pt idx="29">
                  <c:v>-0.32802999999999999</c:v>
                </c:pt>
                <c:pt idx="30">
                  <c:v>-0.25</c:v>
                </c:pt>
                <c:pt idx="31">
                  <c:v>-0.16278000000000001</c:v>
                </c:pt>
                <c:pt idx="32">
                  <c:v>-6.9589999999999999E-2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3-CB42-BFBF-887BAFEF839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'1-Blade sections'!$G$14:$G$46</c:f>
              <c:numCache>
                <c:formatCode>General</c:formatCode>
                <c:ptCount val="33"/>
                <c:pt idx="0">
                  <c:v>0.49939</c:v>
                </c:pt>
                <c:pt idx="1">
                  <c:v>0.49019999999999997</c:v>
                </c:pt>
                <c:pt idx="2">
                  <c:v>0.46297999999999995</c:v>
                </c:pt>
                <c:pt idx="3">
                  <c:v>0.41873000000000005</c:v>
                </c:pt>
                <c:pt idx="4">
                  <c:v>0.35906000000000005</c:v>
                </c:pt>
                <c:pt idx="5">
                  <c:v>0.28617999999999999</c:v>
                </c:pt>
                <c:pt idx="6">
                  <c:v>0.20276000000000005</c:v>
                </c:pt>
                <c:pt idx="7">
                  <c:v>0.11187000000000002</c:v>
                </c:pt>
                <c:pt idx="8">
                  <c:v>1.6839999999999966E-2</c:v>
                </c:pt>
                <c:pt idx="9">
                  <c:v>-7.8830000000000011E-2</c:v>
                </c:pt>
                <c:pt idx="10">
                  <c:v>-0.17161999999999999</c:v>
                </c:pt>
                <c:pt idx="11">
                  <c:v>-0.25812999999999997</c:v>
                </c:pt>
                <c:pt idx="12">
                  <c:v>-0.33518000000000003</c:v>
                </c:pt>
                <c:pt idx="13">
                  <c:v>-0.39993000000000001</c:v>
                </c:pt>
                <c:pt idx="14">
                  <c:v>-0.45001000000000002</c:v>
                </c:pt>
                <c:pt idx="15">
                  <c:v>-0.48357</c:v>
                </c:pt>
                <c:pt idx="16">
                  <c:v>-0.49939</c:v>
                </c:pt>
                <c:pt idx="17">
                  <c:v>-0.49687999999999999</c:v>
                </c:pt>
                <c:pt idx="18">
                  <c:v>-0.47614000000000001</c:v>
                </c:pt>
                <c:pt idx="19">
                  <c:v>-0.43791999999999998</c:v>
                </c:pt>
                <c:pt idx="20">
                  <c:v>-0.38363000000000003</c:v>
                </c:pt>
                <c:pt idx="21">
                  <c:v>-0.31526999999999999</c:v>
                </c:pt>
                <c:pt idx="22">
                  <c:v>-0.23535</c:v>
                </c:pt>
                <c:pt idx="23">
                  <c:v>-0.14679999999999999</c:v>
                </c:pt>
                <c:pt idx="24">
                  <c:v>-5.2869999999999973E-2</c:v>
                </c:pt>
                <c:pt idx="25">
                  <c:v>4.2969999999999953E-2</c:v>
                </c:pt>
                <c:pt idx="26">
                  <c:v>0.13721000000000005</c:v>
                </c:pt>
                <c:pt idx="27">
                  <c:v>0.22638999999999998</c:v>
                </c:pt>
                <c:pt idx="28">
                  <c:v>0.30722000000000005</c:v>
                </c:pt>
                <c:pt idx="29">
                  <c:v>0.37673999999999996</c:v>
                </c:pt>
                <c:pt idx="30">
                  <c:v>0.43240000000000001</c:v>
                </c:pt>
                <c:pt idx="31">
                  <c:v>0.47214999999999996</c:v>
                </c:pt>
                <c:pt idx="32">
                  <c:v>0.49451999999999996</c:v>
                </c:pt>
              </c:numCache>
            </c:numRef>
          </c:xVal>
          <c:yVal>
            <c:numRef>
              <c:f>'1-Blade sections'!$H$14:$H$46</c:f>
              <c:numCache>
                <c:formatCode>General</c:formatCode>
                <c:ptCount val="33"/>
                <c:pt idx="0">
                  <c:v>-1.7440000000000001E-2</c:v>
                </c:pt>
                <c:pt idx="1">
                  <c:v>7.7960000000000002E-2</c:v>
                </c:pt>
                <c:pt idx="2">
                  <c:v>0.16985999999999998</c:v>
                </c:pt>
                <c:pt idx="3">
                  <c:v>0.25488</c:v>
                </c:pt>
                <c:pt idx="4">
                  <c:v>0.32989000000000002</c:v>
                </c:pt>
                <c:pt idx="5">
                  <c:v>0.39213999999999999</c:v>
                </c:pt>
                <c:pt idx="6">
                  <c:v>0.43933</c:v>
                </c:pt>
                <c:pt idx="7">
                  <c:v>0.46975</c:v>
                </c:pt>
                <c:pt idx="8">
                  <c:v>0.48225999999999997</c:v>
                </c:pt>
                <c:pt idx="9">
                  <c:v>0.47639999999999999</c:v>
                </c:pt>
                <c:pt idx="10">
                  <c:v>0.45240999999999998</c:v>
                </c:pt>
                <c:pt idx="11">
                  <c:v>0.41114000000000001</c:v>
                </c:pt>
                <c:pt idx="12">
                  <c:v>0.35413</c:v>
                </c:pt>
                <c:pt idx="13">
                  <c:v>0.28347</c:v>
                </c:pt>
                <c:pt idx="14">
                  <c:v>0.20174999999999998</c:v>
                </c:pt>
                <c:pt idx="15">
                  <c:v>0.11197</c:v>
                </c:pt>
                <c:pt idx="16">
                  <c:v>1.7440000000000001E-2</c:v>
                </c:pt>
                <c:pt idx="17">
                  <c:v>-7.8369999999999995E-2</c:v>
                </c:pt>
                <c:pt idx="18">
                  <c:v>-0.17195000000000002</c:v>
                </c:pt>
                <c:pt idx="19">
                  <c:v>-0.25984000000000002</c:v>
                </c:pt>
                <c:pt idx="20">
                  <c:v>-0.33883000000000002</c:v>
                </c:pt>
                <c:pt idx="21">
                  <c:v>-0.40601000000000004</c:v>
                </c:pt>
                <c:pt idx="22">
                  <c:v>-0.45890999999999998</c:v>
                </c:pt>
                <c:pt idx="23">
                  <c:v>-0.49559000000000003</c:v>
                </c:pt>
                <c:pt idx="24">
                  <c:v>-0.51469999999999994</c:v>
                </c:pt>
                <c:pt idx="25">
                  <c:v>-0.51554</c:v>
                </c:pt>
                <c:pt idx="26">
                  <c:v>-0.49807000000000001</c:v>
                </c:pt>
                <c:pt idx="27">
                  <c:v>-0.46294000000000002</c:v>
                </c:pt>
                <c:pt idx="28">
                  <c:v>-0.41145000000000004</c:v>
                </c:pt>
                <c:pt idx="29">
                  <c:v>-0.34547</c:v>
                </c:pt>
                <c:pt idx="30">
                  <c:v>-0.26744000000000001</c:v>
                </c:pt>
                <c:pt idx="31">
                  <c:v>-0.18022000000000002</c:v>
                </c:pt>
                <c:pt idx="32">
                  <c:v>-8.7029999999999996E-2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3-CB42-BFBF-887BAFEF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62063"/>
        <c:axId val="1671849167"/>
      </c:scatterChart>
      <c:valAx>
        <c:axId val="16828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71849167"/>
        <c:crosses val="autoZero"/>
        <c:crossBetween val="midCat"/>
      </c:valAx>
      <c:valAx>
        <c:axId val="16718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8286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Ex.</a:t>
            </a:r>
            <a:r>
              <a:rPr lang="en-GB" baseline="0"/>
              <a:t> of visualization: </a:t>
            </a:r>
            <a:r>
              <a:rPr lang="en-GB"/>
              <a:t>Section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2270778652668407E-2"/>
          <c:y val="0.17634259259259263"/>
          <c:w val="0.89706255468066487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'1-Blade sections'!$R$14:$R$48</c:f>
              <c:numCache>
                <c:formatCode>General</c:formatCode>
                <c:ptCount val="35"/>
                <c:pt idx="0">
                  <c:v>40.360977274621668</c:v>
                </c:pt>
                <c:pt idx="1">
                  <c:v>35.836505090015386</c:v>
                </c:pt>
                <c:pt idx="2">
                  <c:v>31.33221366810103</c:v>
                </c:pt>
                <c:pt idx="3">
                  <c:v>22.399308684366943</c:v>
                </c:pt>
                <c:pt idx="4">
                  <c:v>13.552171942073446</c:v>
                </c:pt>
                <c:pt idx="5">
                  <c:v>4.7857582505475786</c:v>
                </c:pt>
                <c:pt idx="6">
                  <c:v>-3.8646160554998343</c:v>
                </c:pt>
                <c:pt idx="7">
                  <c:v>-12.373725022703912</c:v>
                </c:pt>
                <c:pt idx="8">
                  <c:v>-20.686071553661918</c:v>
                </c:pt>
                <c:pt idx="9">
                  <c:v>-24.741341005681392</c:v>
                </c:pt>
                <c:pt idx="10">
                  <c:v>-28.700751834914321</c:v>
                </c:pt>
                <c:pt idx="11">
                  <c:v>-32.539078087995819</c:v>
                </c:pt>
                <c:pt idx="12">
                  <c:v>-36.135235188774452</c:v>
                </c:pt>
                <c:pt idx="13">
                  <c:v>-37.781958018974478</c:v>
                </c:pt>
                <c:pt idx="14">
                  <c:v>-39.292460701004146</c:v>
                </c:pt>
                <c:pt idx="15">
                  <c:v>-40.580974993422863</c:v>
                </c:pt>
                <c:pt idx="16">
                  <c:v>-41.036037489395603</c:v>
                </c:pt>
                <c:pt idx="17">
                  <c:v>-40.360977274621668</c:v>
                </c:pt>
                <c:pt idx="18">
                  <c:v>-38.573984440983182</c:v>
                </c:pt>
                <c:pt idx="19">
                  <c:v>-37.205742433201728</c:v>
                </c:pt>
                <c:pt idx="20">
                  <c:v>-34.787105430036327</c:v>
                </c:pt>
                <c:pt idx="21">
                  <c:v>-32.479462621676404</c:v>
                </c:pt>
                <c:pt idx="22">
                  <c:v>-30.217226529373271</c:v>
                </c:pt>
                <c:pt idx="23">
                  <c:v>-25.798703348899501</c:v>
                </c:pt>
                <c:pt idx="24">
                  <c:v>-21.470993600539302</c:v>
                </c:pt>
                <c:pt idx="25">
                  <c:v>-17.244187665638634</c:v>
                </c:pt>
                <c:pt idx="26">
                  <c:v>-13.113240353524517</c:v>
                </c:pt>
                <c:pt idx="27">
                  <c:v>-5.0531533562153221</c:v>
                </c:pt>
                <c:pt idx="28">
                  <c:v>2.8152163955207672</c:v>
                </c:pt>
                <c:pt idx="29">
                  <c:v>10.547365999086495</c:v>
                </c:pt>
                <c:pt idx="30">
                  <c:v>18.173566598519727</c:v>
                </c:pt>
                <c:pt idx="31">
                  <c:v>25.708953765839386</c:v>
                </c:pt>
                <c:pt idx="32">
                  <c:v>33.163617882391421</c:v>
                </c:pt>
                <c:pt idx="33">
                  <c:v>36.855633605956605</c:v>
                </c:pt>
                <c:pt idx="34">
                  <c:v>40.522423376156908</c:v>
                </c:pt>
              </c:numCache>
            </c:numRef>
          </c:xVal>
          <c:yVal>
            <c:numRef>
              <c:f>'1-Blade sections'!$S$14:$S$48</c:f>
              <c:numCache>
                <c:formatCode>General</c:formatCode>
                <c:ptCount val="35"/>
                <c:pt idx="0">
                  <c:v>25.290595506961431</c:v>
                </c:pt>
                <c:pt idx="1">
                  <c:v>23.543705875433393</c:v>
                </c:pt>
                <c:pt idx="2">
                  <c:v>21.764495172865356</c:v>
                </c:pt>
                <c:pt idx="3">
                  <c:v>18.084869751329254</c:v>
                </c:pt>
                <c:pt idx="4">
                  <c:v>14.267879777873135</c:v>
                </c:pt>
                <c:pt idx="5">
                  <c:v>10.321605520257</c:v>
                </c:pt>
                <c:pt idx="6">
                  <c:v>6.1894851041608394</c:v>
                </c:pt>
                <c:pt idx="7">
                  <c:v>1.8311171907846482</c:v>
                </c:pt>
                <c:pt idx="8">
                  <c:v>-2.8423811652315876</c:v>
                </c:pt>
                <c:pt idx="9">
                  <c:v>-5.3407356984397252</c:v>
                </c:pt>
                <c:pt idx="10">
                  <c:v>-7.9926153190878875</c:v>
                </c:pt>
                <c:pt idx="11">
                  <c:v>-10.838421365976071</c:v>
                </c:pt>
                <c:pt idx="12">
                  <c:v>-14.072080265344313</c:v>
                </c:pt>
                <c:pt idx="13">
                  <c:v>-15.931317747828462</c:v>
                </c:pt>
                <c:pt idx="14">
                  <c:v>-18.008722459832647</c:v>
                </c:pt>
                <c:pt idx="15">
                  <c:v>-20.441658953276878</c:v>
                </c:pt>
                <c:pt idx="16">
                  <c:v>-21.96113724099903</c:v>
                </c:pt>
                <c:pt idx="17">
                  <c:v>-25.290595506961431</c:v>
                </c:pt>
                <c:pt idx="18">
                  <c:v>-25.904307907879563</c:v>
                </c:pt>
                <c:pt idx="19">
                  <c:v>-25.847358084717609</c:v>
                </c:pt>
                <c:pt idx="20">
                  <c:v>-25.224401569513624</c:v>
                </c:pt>
                <c:pt idx="21">
                  <c:v>-24.423679163589615</c:v>
                </c:pt>
                <c:pt idx="22">
                  <c:v>-23.550234347825597</c:v>
                </c:pt>
                <c:pt idx="23">
                  <c:v>-21.633659093337531</c:v>
                </c:pt>
                <c:pt idx="24">
                  <c:v>-19.571639019169456</c:v>
                </c:pt>
                <c:pt idx="25">
                  <c:v>-17.348013589801351</c:v>
                </c:pt>
                <c:pt idx="26">
                  <c:v>-14.970863072993232</c:v>
                </c:pt>
                <c:pt idx="27">
                  <c:v>-9.8933513289769408</c:v>
                </c:pt>
                <c:pt idx="28">
                  <c:v>-4.5087894100806123</c:v>
                </c:pt>
                <c:pt idx="29">
                  <c:v>1.0939397383357483</c:v>
                </c:pt>
                <c:pt idx="30">
                  <c:v>6.8663545097121297</c:v>
                </c:pt>
                <c:pt idx="31">
                  <c:v>12.784214100768541</c:v>
                </c:pt>
                <c:pt idx="32">
                  <c:v>18.831357975984961</c:v>
                </c:pt>
                <c:pt idx="33">
                  <c:v>21.911491787913175</c:v>
                </c:pt>
                <c:pt idx="34">
                  <c:v>25.032026938641401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6-8F4A-8E05-9F2B4E65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5856"/>
        <c:axId val="2090606815"/>
      </c:scatterChart>
      <c:valAx>
        <c:axId val="4054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2090606815"/>
        <c:crosses val="autoZero"/>
        <c:crossBetween val="midCat"/>
      </c:valAx>
      <c:valAx>
        <c:axId val="20906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54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8623</xdr:colOff>
      <xdr:row>58</xdr:row>
      <xdr:rowOff>186303</xdr:rowOff>
    </xdr:from>
    <xdr:to>
      <xdr:col>24</xdr:col>
      <xdr:colOff>76900</xdr:colOff>
      <xdr:row>69</xdr:row>
      <xdr:rowOff>35855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34B10B-1B15-BFA6-E981-98D470FE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60</xdr:row>
      <xdr:rowOff>11536</xdr:rowOff>
    </xdr:from>
    <xdr:to>
      <xdr:col>4</xdr:col>
      <xdr:colOff>660167</xdr:colOff>
      <xdr:row>75</xdr:row>
      <xdr:rowOff>184210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C0D23-8C06-52AD-10E7-40C032F4F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221376</xdr:colOff>
      <xdr:row>61</xdr:row>
      <xdr:rowOff>23301</xdr:rowOff>
    </xdr:from>
    <xdr:to>
      <xdr:col>11</xdr:col>
      <xdr:colOff>118145</xdr:colOff>
      <xdr:row>74</xdr:row>
      <xdr:rowOff>147990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C98702-2C74-A915-E57A-1956A7399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FC0-67BD-46BD-820F-DD324B6C9695}">
  <dimension ref="A1:BU102"/>
  <sheetViews>
    <sheetView tabSelected="1" topLeftCell="A4" zoomScale="109" zoomScaleNormal="100" workbookViewId="0">
      <selection activeCell="D15" sqref="D15"/>
    </sheetView>
  </sheetViews>
  <sheetFormatPr defaultColWidth="8.625" defaultRowHeight="15.75" x14ac:dyDescent="0.25"/>
  <cols>
    <col min="1" max="1" width="14.5" customWidth="1"/>
    <col min="2" max="2" width="15" customWidth="1"/>
    <col min="3" max="3" width="10.625" customWidth="1"/>
    <col min="4" max="4" width="6.125" customWidth="1"/>
    <col min="5" max="5" width="10.625" customWidth="1"/>
    <col min="7" max="8" width="13" bestFit="1" customWidth="1"/>
    <col min="12" max="13" width="13" bestFit="1" customWidth="1"/>
    <col min="15" max="15" width="11.125" bestFit="1" customWidth="1"/>
    <col min="16" max="16" width="11.625" bestFit="1" customWidth="1"/>
    <col min="18" max="18" width="11.125" customWidth="1"/>
    <col min="19" max="19" width="11.625" customWidth="1"/>
    <col min="21" max="21" width="11" customWidth="1"/>
    <col min="22" max="22" width="11.625" customWidth="1"/>
    <col min="24" max="24" width="10.625" customWidth="1"/>
    <col min="25" max="25" width="12" customWidth="1"/>
    <col min="27" max="27" width="11.125" customWidth="1"/>
    <col min="28" max="28" width="12.625" bestFit="1" customWidth="1"/>
    <col min="30" max="30" width="11.125" customWidth="1"/>
    <col min="31" max="31" width="12.625" bestFit="1" customWidth="1"/>
    <col min="33" max="34" width="12.625" bestFit="1" customWidth="1"/>
    <col min="36" max="37" width="12.625" bestFit="1" customWidth="1"/>
    <col min="39" max="40" width="12.625" bestFit="1" customWidth="1"/>
    <col min="42" max="43" width="12.625" bestFit="1" customWidth="1"/>
    <col min="45" max="46" width="12.625" bestFit="1" customWidth="1"/>
  </cols>
  <sheetData>
    <row r="1" spans="1:73" x14ac:dyDescent="0.25">
      <c r="A1" s="22" t="s">
        <v>0</v>
      </c>
    </row>
    <row r="2" spans="1:73" x14ac:dyDescent="0.25">
      <c r="A2" s="25" t="s">
        <v>4</v>
      </c>
    </row>
    <row r="3" spans="1:73" x14ac:dyDescent="0.25">
      <c r="A3" t="s">
        <v>77</v>
      </c>
    </row>
    <row r="4" spans="1:73" x14ac:dyDescent="0.25">
      <c r="A4" t="s">
        <v>78</v>
      </c>
    </row>
    <row r="5" spans="1:73" x14ac:dyDescent="0.25">
      <c r="A5" t="s">
        <v>79</v>
      </c>
    </row>
    <row r="7" spans="1:73" x14ac:dyDescent="0.25">
      <c r="A7" s="22" t="s">
        <v>5</v>
      </c>
    </row>
    <row r="8" spans="1:73" x14ac:dyDescent="0.25">
      <c r="A8" t="s">
        <v>6</v>
      </c>
    </row>
    <row r="9" spans="1:73" x14ac:dyDescent="0.25">
      <c r="A9" t="s">
        <v>7</v>
      </c>
    </row>
    <row r="10" spans="1:73" x14ac:dyDescent="0.25">
      <c r="A10" t="s">
        <v>8</v>
      </c>
    </row>
    <row r="11" spans="1:73" ht="16.5" thickBot="1" x14ac:dyDescent="0.3"/>
    <row r="12" spans="1:73" ht="16.5" thickBot="1" x14ac:dyDescent="0.3">
      <c r="E12" s="58" t="s">
        <v>9</v>
      </c>
      <c r="F12" s="59"/>
      <c r="G12" s="59"/>
      <c r="H12" s="60"/>
      <c r="J12" s="61" t="s">
        <v>10</v>
      </c>
      <c r="K12" s="62"/>
      <c r="L12" s="62"/>
      <c r="M12" s="63"/>
      <c r="O12" s="66" t="s">
        <v>11</v>
      </c>
      <c r="P12" s="67"/>
      <c r="Q12" s="22"/>
      <c r="R12" s="64" t="s">
        <v>12</v>
      </c>
      <c r="S12" s="65"/>
      <c r="T12" s="22"/>
      <c r="U12" s="64" t="s">
        <v>13</v>
      </c>
      <c r="V12" s="65"/>
      <c r="W12" s="22"/>
      <c r="X12" s="64" t="s">
        <v>14</v>
      </c>
      <c r="Y12" s="65"/>
      <c r="Z12" s="22"/>
      <c r="AA12" s="64" t="s">
        <v>15</v>
      </c>
      <c r="AB12" s="65"/>
      <c r="AC12" s="22"/>
      <c r="AD12" s="64" t="s">
        <v>16</v>
      </c>
      <c r="AE12" s="65"/>
      <c r="AF12" s="22"/>
      <c r="AG12" s="64" t="s">
        <v>17</v>
      </c>
      <c r="AH12" s="65"/>
      <c r="AI12" s="22"/>
      <c r="AJ12" s="64" t="s">
        <v>18</v>
      </c>
      <c r="AK12" s="65"/>
      <c r="AL12" s="22"/>
      <c r="AM12" s="64" t="s">
        <v>19</v>
      </c>
      <c r="AN12" s="65"/>
      <c r="AO12" s="22"/>
      <c r="AP12" s="64" t="s">
        <v>20</v>
      </c>
      <c r="AQ12" s="65"/>
      <c r="AR12" s="22"/>
      <c r="AS12" s="64" t="s">
        <v>21</v>
      </c>
      <c r="AT12" s="65"/>
      <c r="AV12" s="64" t="s">
        <v>22</v>
      </c>
      <c r="AW12" s="65"/>
      <c r="AY12" s="64" t="s">
        <v>23</v>
      </c>
      <c r="AZ12" s="65"/>
      <c r="BB12" s="64" t="s">
        <v>24</v>
      </c>
      <c r="BC12" s="65"/>
      <c r="BE12" s="64" t="s">
        <v>25</v>
      </c>
      <c r="BF12" s="65"/>
      <c r="BH12" s="64" t="s">
        <v>26</v>
      </c>
      <c r="BI12" s="65"/>
      <c r="BK12" s="64" t="s">
        <v>27</v>
      </c>
      <c r="BL12" s="65"/>
      <c r="BN12" s="64" t="s">
        <v>28</v>
      </c>
      <c r="BO12" s="65"/>
      <c r="BQ12" s="64" t="s">
        <v>28</v>
      </c>
      <c r="BR12" s="65"/>
      <c r="BT12" s="64" t="s">
        <v>28</v>
      </c>
      <c r="BU12" s="65"/>
    </row>
    <row r="13" spans="1:73" ht="16.5" thickBot="1" x14ac:dyDescent="0.3">
      <c r="A13" s="7" t="s">
        <v>1</v>
      </c>
      <c r="B13" s="7" t="s">
        <v>2</v>
      </c>
      <c r="C13" s="7" t="s">
        <v>3</v>
      </c>
      <c r="E13" s="40" t="s">
        <v>29</v>
      </c>
      <c r="F13" s="41" t="s">
        <v>30</v>
      </c>
      <c r="G13" s="42" t="s">
        <v>31</v>
      </c>
      <c r="H13" s="41" t="s">
        <v>32</v>
      </c>
      <c r="I13" s="22"/>
      <c r="J13" s="40" t="s">
        <v>29</v>
      </c>
      <c r="K13" s="43" t="s">
        <v>30</v>
      </c>
      <c r="L13" s="40" t="s">
        <v>31</v>
      </c>
      <c r="M13" s="41" t="s">
        <v>32</v>
      </c>
      <c r="O13" s="50" t="s">
        <v>33</v>
      </c>
      <c r="P13" s="51" t="s">
        <v>34</v>
      </c>
      <c r="Q13" s="22"/>
      <c r="R13" s="23" t="s">
        <v>35</v>
      </c>
      <c r="S13" s="24" t="s">
        <v>36</v>
      </c>
      <c r="T13" s="22"/>
      <c r="U13" s="23" t="s">
        <v>37</v>
      </c>
      <c r="V13" s="24" t="s">
        <v>38</v>
      </c>
      <c r="W13" s="22"/>
      <c r="X13" s="23" t="s">
        <v>39</v>
      </c>
      <c r="Y13" s="24" t="s">
        <v>40</v>
      </c>
      <c r="Z13" s="22"/>
      <c r="AA13" s="23" t="s">
        <v>41</v>
      </c>
      <c r="AB13" s="24" t="s">
        <v>42</v>
      </c>
      <c r="AC13" s="22"/>
      <c r="AD13" s="23" t="s">
        <v>43</v>
      </c>
      <c r="AE13" s="24" t="s">
        <v>44</v>
      </c>
      <c r="AF13" s="22"/>
      <c r="AG13" s="23" t="s">
        <v>45</v>
      </c>
      <c r="AH13" s="24" t="s">
        <v>46</v>
      </c>
      <c r="AI13" s="22"/>
      <c r="AJ13" s="23" t="s">
        <v>47</v>
      </c>
      <c r="AK13" s="24" t="s">
        <v>48</v>
      </c>
      <c r="AL13" s="22"/>
      <c r="AM13" s="23" t="s">
        <v>49</v>
      </c>
      <c r="AN13" s="24" t="s">
        <v>50</v>
      </c>
      <c r="AO13" s="22"/>
      <c r="AP13" s="23" t="s">
        <v>51</v>
      </c>
      <c r="AQ13" s="24" t="s">
        <v>52</v>
      </c>
      <c r="AR13" s="22"/>
      <c r="AS13" s="23" t="s">
        <v>53</v>
      </c>
      <c r="AT13" s="24" t="s">
        <v>54</v>
      </c>
      <c r="AV13" s="50" t="s">
        <v>55</v>
      </c>
      <c r="AW13" s="51" t="s">
        <v>56</v>
      </c>
      <c r="AY13" s="50" t="s">
        <v>57</v>
      </c>
      <c r="AZ13" s="51" t="s">
        <v>58</v>
      </c>
      <c r="BB13" s="50" t="s">
        <v>59</v>
      </c>
      <c r="BC13" s="51" t="s">
        <v>60</v>
      </c>
      <c r="BE13" s="50" t="s">
        <v>61</v>
      </c>
      <c r="BF13" s="51" t="s">
        <v>62</v>
      </c>
      <c r="BH13" s="50" t="s">
        <v>63</v>
      </c>
      <c r="BI13" s="51" t="s">
        <v>64</v>
      </c>
      <c r="BK13" s="50" t="s">
        <v>65</v>
      </c>
      <c r="BL13" s="51" t="s">
        <v>66</v>
      </c>
      <c r="BN13" s="50" t="s">
        <v>67</v>
      </c>
      <c r="BO13" s="51" t="s">
        <v>68</v>
      </c>
      <c r="BQ13" s="50" t="s">
        <v>69</v>
      </c>
      <c r="BR13" s="51" t="s">
        <v>70</v>
      </c>
      <c r="BT13" s="50" t="s">
        <v>71</v>
      </c>
      <c r="BU13" s="51" t="s">
        <v>72</v>
      </c>
    </row>
    <row r="14" spans="1:73" x14ac:dyDescent="0.25">
      <c r="A14" s="57">
        <v>0.03</v>
      </c>
      <c r="B14" s="57">
        <v>5.4109999999999998E-2</v>
      </c>
      <c r="C14" s="57">
        <v>42.86</v>
      </c>
      <c r="D14" s="28"/>
      <c r="E14" s="37">
        <v>1</v>
      </c>
      <c r="F14" s="38">
        <v>0</v>
      </c>
      <c r="G14" s="39">
        <f t="shared" ref="G14:G46" si="0">E14-(MIN($E$14:$E$46)+MAX($J$14:$J$48))/2</f>
        <v>0.49939</v>
      </c>
      <c r="H14" s="10">
        <f>F14-(INDEX($F$14:$F$48,MATCH(MIN($E$14:$E$48),$E$14:$E$48,0))+INDEX($F$14:$F$48,MATCH(MAX($E$14:$E$48),$E$14:$E$48,0)))/2</f>
        <v>-1.7440000000000001E-2</v>
      </c>
      <c r="I14" s="26"/>
      <c r="J14" s="44">
        <v>1</v>
      </c>
      <c r="K14" s="45">
        <v>1.6000000000000001E-3</v>
      </c>
      <c r="L14" s="3">
        <f t="shared" ref="L14:L48" si="1">J14-(MIN($J$14:$J$48)+MAX($J$14:$J$48))/2</f>
        <v>0.5</v>
      </c>
      <c r="M14" s="10">
        <f t="shared" ref="M14:M48" si="2">K14-(INDEX($K$14:$K$48,MATCH(MIN($J$14:$J$48),$J$14:$J$48,0))+INDEX($K$14:$K$48,MATCH(MAX($J$14:$J$48),$J$14:$J$48,0)))/2</f>
        <v>8.0000000000000004E-4</v>
      </c>
      <c r="O14" s="52">
        <f>(G14*COS(RADIANS($C$14))-H14*SIN(RADIANS($C$14)))*$B$14*1000</f>
        <v>20.449504738954143</v>
      </c>
      <c r="P14" s="53">
        <f>(G14*SIN(RADIANS($C$14))+H14*COS(RADIANS($C$14)))*$B$14*1000</f>
        <v>17.688877441538473</v>
      </c>
      <c r="R14" s="3">
        <f t="shared" ref="R14:R47" si="3">(L14*COS(RADIANS($C$15))-M14*SIN(RADIANS($C$15)))*$B$15*1000</f>
        <v>40.360977274621668</v>
      </c>
      <c r="S14" s="10">
        <f t="shared" ref="S14:S47" si="4">(L14*SIN(RADIANS($C$15))+M14*COS(RADIANS($C$15)))*$B$15*1000</f>
        <v>25.290595506961431</v>
      </c>
      <c r="U14" s="3">
        <f t="shared" ref="U14:U47" si="5">(L14*COS(RADIANS($C$16))-M14*SIN(RADIANS($C$16)))*$B$16*1000</f>
        <v>42.475720102967749</v>
      </c>
      <c r="V14" s="10">
        <f t="shared" ref="V14:V47" si="6">(L14*SIN(RADIANS($C$16))+M14*COS(RADIANS($C$16)))*$B$16*1000</f>
        <v>18.08385696207635</v>
      </c>
      <c r="X14" s="3">
        <f t="shared" ref="X14:X47" si="7">(L14*COS(RADIANS($C$17))-M14*SIN(RADIANS($C$17)))*$B$17*1000</f>
        <v>39.294351361993115</v>
      </c>
      <c r="Y14" s="10">
        <f t="shared" ref="Y14:Y47" si="8">(L14*SIN(RADIANS($C$17))+M14*COS(RADIANS($C$17)))*$B$17*1000</f>
        <v>12.28524277988082</v>
      </c>
      <c r="AA14" s="3">
        <f t="shared" ref="AA14:AA47" si="9">(L14*COS(RADIANS($C$18))-M14*SIN(RADIANS($C$18)))*$B$18*1000</f>
        <v>34.149487380939384</v>
      </c>
      <c r="AB14" s="10">
        <f t="shared" ref="AB14:AB47" si="10">(L14*SIN(RADIANS($C$18))+M14*COS(RADIANS($C$18)))*$B$18*1000</f>
        <v>8.0044541396313917</v>
      </c>
      <c r="AD14" s="3">
        <f t="shared" ref="AD14:AD47" si="11">(L14*COS(RADIANS($C$19))-M14*SIN(RADIANS($C$19)))*$B$19*1000</f>
        <v>28.555523060755114</v>
      </c>
      <c r="AE14" s="10">
        <f t="shared" ref="AE14:AE47" si="12">(L14*SIN(RADIANS($C$19))+M14*COS(RADIANS($C$19)))*$B$19*1000</f>
        <v>4.9127260229207588</v>
      </c>
      <c r="AG14" s="3">
        <f t="shared" ref="AG14:AG47" si="13">(L14*COS(RADIANS($C$20))-M14*SIN(RADIANS($C$20)))*$B$20*1000</f>
        <v>27.579814712592</v>
      </c>
      <c r="AH14" s="10">
        <f t="shared" ref="AH14:AH47" si="14">(L14*SIN(RADIANS($C$20))+M14*COS(RADIANS($C$20)))*$B$20*1000</f>
        <v>4.1817266092509957</v>
      </c>
      <c r="AJ14" s="3">
        <f t="shared" ref="AJ14:AJ47" si="15">(L14*COS(RADIANS($C$21))-M14*SIN(RADIANS($C$21)))*$B$21*1000</f>
        <v>25.301758371250774</v>
      </c>
      <c r="AK14" s="10">
        <f t="shared" ref="AK14:AK47" si="16">(L14*SIN(RADIANS($C$21))+M14*COS(RADIANS($C$21)))*$B$21*1000</f>
        <v>2.8790464387323578</v>
      </c>
      <c r="AM14" s="3">
        <f t="shared" ref="AM14:AM47" si="17">(L14*COS(RADIANS($C$22))-M14*SIN(RADIANS($C$22)))*$B$22*1000</f>
        <v>23.415295478415899</v>
      </c>
      <c r="AN14" s="10">
        <f t="shared" ref="AN14:AN47" si="18">(L14*SIN(RADIANS($C$22))+M14*COS(RADIANS($C$22)))*$B$22*1000</f>
        <v>1.9340051232972737</v>
      </c>
      <c r="AP14" s="3">
        <f t="shared" ref="AP14:AP47" si="19">(L14*COS(RADIANS($C$23))-M14*SIN(RADIANS($C$23)))*$B$23*1000</f>
        <v>22.523195769384849</v>
      </c>
      <c r="AQ14" s="10">
        <f t="shared" ref="AQ14:AQ47" si="20">(L14*SIN(RADIANS($C$23))+M14*COS(RADIANS($C$23)))*$B$23*1000</f>
        <v>1.4532227669936046</v>
      </c>
      <c r="AS14" s="3">
        <f t="shared" ref="AS14:AS47" si="21">(L14*COS(RADIANS($C$24))-M14*SIN(RADIANS($C$24)))*$B$24*1000</f>
        <v>21.063910690854428</v>
      </c>
      <c r="AT14" s="10">
        <f t="shared" ref="AT14:AT47" si="22">(L14*SIN(RADIANS($C$24))+M14*COS(RADIANS($C$24)))*$B$24*1000</f>
        <v>1.0492402323798842</v>
      </c>
      <c r="AV14" s="52">
        <f t="shared" ref="AV14:AV47" si="23">(L14*COS(RADIANS($C$25))-M14*SIN(RADIANS($C$25)))*$B$25*1000</f>
        <v>20.82033671706866</v>
      </c>
      <c r="AW14" s="53">
        <f t="shared" ref="AW14:AW47" si="24">(L14*SIN(RADIANS($C$25))+M14*COS(RADIANS($C$25)))*$B$25*1000</f>
        <v>0.78225013696296819</v>
      </c>
      <c r="AY14" s="52">
        <f t="shared" ref="AY14:AY47" si="25">(L14*COS(RADIANS($C$26))-M14*SIN(RADIANS($C$26)))*$B$26*1000</f>
        <v>20.827287893945947</v>
      </c>
      <c r="AZ14" s="53">
        <f t="shared" ref="AZ14:AZ47" si="26">(L14*SIN(RADIANS($C$26))+M14*COS(RADIANS($C$26)))*$B$26*1000</f>
        <v>0.5678162304729234</v>
      </c>
      <c r="BB14" s="52">
        <f t="shared" ref="BB14:BB47" si="27">(L14*COS(RADIANS($C$27))-M14*SIN(RADIANS($C$27)))*$B$27*1000</f>
        <v>20.827287893945947</v>
      </c>
      <c r="BC14" s="53">
        <f t="shared" ref="BC14:BC47" si="28">(L14*SIN(RADIANS($C$27))+M14*COS(RADIANS($C$27)))*$B$27*1000</f>
        <v>0.5678162304729234</v>
      </c>
      <c r="BE14" s="52">
        <f t="shared" ref="BE14:BE47" si="29">(L14*COS(RADIANS($C$28))-M14*SIN(RADIANS($C$28)))*$B$28*1000</f>
        <v>20.83103423618779</v>
      </c>
      <c r="BF14" s="53">
        <f t="shared" ref="BF14:BF47" si="30">(L14*SIN(RADIANS($C$28))+M14*COS(RADIANS($C$28)))*$B$28*1000</f>
        <v>0.40785897031710044</v>
      </c>
      <c r="BH14" s="52">
        <f t="shared" ref="BH14:BH47" si="31">(L14*COS(RADIANS($C$29))-M14*SIN(RADIANS($C$29)))*$B$29*1000</f>
        <v>20.83103423618779</v>
      </c>
      <c r="BI14" s="53">
        <f t="shared" ref="BI14:BI47" si="32">(L14*SIN(RADIANS($C$29))+M14*COS(RADIANS($C$29)))*$B$29*1000</f>
        <v>0.40785897031710044</v>
      </c>
      <c r="BK14" s="52">
        <f t="shared" ref="BK14:BK47" si="33">(L14*COS(RADIANS($C$30))-M14*SIN(RADIANS($C$30)))*$B$30*1000</f>
        <v>0</v>
      </c>
      <c r="BL14" s="53">
        <f t="shared" ref="BL14:BL47" si="34">(L14*SIN(RADIANS($C$30))+M14*COS(RADIANS($C$30)))*$B$30*1000</f>
        <v>0</v>
      </c>
      <c r="BN14" s="52">
        <f t="shared" ref="BN14:BN47" si="35">(L14*COS(RADIANS($C$31))-M14*SIN(RADIANS($C$31)))*$B$31*1000</f>
        <v>0</v>
      </c>
      <c r="BO14" s="53">
        <f t="shared" ref="BO14:BO47" si="36">(L14*SIN(RADIANS($C$31))+M14*COS(RADIANS($C$31)))*$B$31*1000</f>
        <v>0</v>
      </c>
      <c r="BQ14" s="52">
        <f t="shared" ref="BQ14:BQ47" si="37">(L14*COS(RADIANS($C$32))-M14*SIN(RADIANS($C$32)))*$B$32*1000</f>
        <v>0</v>
      </c>
      <c r="BR14" s="53">
        <f t="shared" ref="BR14:BR47" si="38">(L14*SIN(RADIANS($C$32))+M14*COS(RADIANS($C$32)))*$B$32*1000</f>
        <v>0</v>
      </c>
      <c r="BT14" s="52">
        <f t="shared" ref="BT14:BT47" si="39">(L14*COS(RADIANS($C$33))-M14*SIN(RADIANS($C$33)))*$B$33*1000</f>
        <v>0</v>
      </c>
      <c r="BU14" s="53">
        <f t="shared" ref="BU14:BU47" si="40">(L14*SIN(RADIANS($C$33))+M14*COS(RADIANS($C$33)))*$B$33*1000</f>
        <v>0</v>
      </c>
    </row>
    <row r="15" spans="1:73" x14ac:dyDescent="0.25">
      <c r="A15" s="57">
        <v>4.4999999999999998E-2</v>
      </c>
      <c r="B15" s="57">
        <v>9.5260000000000011E-2</v>
      </c>
      <c r="C15" s="57">
        <v>31.98</v>
      </c>
      <c r="D15" s="28"/>
      <c r="E15" s="31">
        <v>0.99080999999999997</v>
      </c>
      <c r="F15" s="35">
        <v>9.5399999999999999E-2</v>
      </c>
      <c r="G15" s="34">
        <f t="shared" si="0"/>
        <v>0.49019999999999997</v>
      </c>
      <c r="H15" s="8">
        <f t="shared" ref="H15:H46" si="41">F15-(INDEX($F$14:$F$48,MATCH(MIN($E$14:$E$48),$E$14:$E$48,0))+INDEX($F$14:$F$48,MATCH(MAX($E$14:$E$48),$E$14:$E$48,0)))/2</f>
        <v>7.7960000000000002E-2</v>
      </c>
      <c r="I15" s="26"/>
      <c r="J15" s="46">
        <v>0.95</v>
      </c>
      <c r="K15" s="47">
        <v>1.12E-2</v>
      </c>
      <c r="L15" s="1">
        <f t="shared" si="1"/>
        <v>0.44999999999999996</v>
      </c>
      <c r="M15" s="8">
        <f t="shared" si="2"/>
        <v>1.04E-2</v>
      </c>
      <c r="O15" s="1">
        <f t="shared" ref="O15:O46" si="42">(G15*COS(RADIANS($C$14))-H15*SIN(RADIANS($C$14)))*$B$14*1000</f>
        <v>16.573691938331443</v>
      </c>
      <c r="P15" s="8">
        <f t="shared" ref="P15:P46" si="43">(G15*SIN(RADIANS($C$14))+H15*COS(RADIANS($C$14)))*$B$14*1000</f>
        <v>21.134536732204342</v>
      </c>
      <c r="R15" s="1">
        <f t="shared" si="3"/>
        <v>35.836505090015386</v>
      </c>
      <c r="S15" s="8">
        <f t="shared" si="4"/>
        <v>23.543705875433393</v>
      </c>
      <c r="U15" s="1">
        <f t="shared" si="5"/>
        <v>37.879361242685412</v>
      </c>
      <c r="V15" s="8">
        <f t="shared" si="6"/>
        <v>17.098359266022147</v>
      </c>
      <c r="X15" s="1">
        <f t="shared" si="7"/>
        <v>35.12829171316185</v>
      </c>
      <c r="Y15" s="8">
        <f t="shared" si="8"/>
        <v>11.817835743481135</v>
      </c>
      <c r="AA15" s="1">
        <f t="shared" si="9"/>
        <v>30.580630619227829</v>
      </c>
      <c r="AB15" s="8">
        <f t="shared" si="10"/>
        <v>7.8653890542010263</v>
      </c>
      <c r="AD15" s="1">
        <f t="shared" si="11"/>
        <v>25.605745155975718</v>
      </c>
      <c r="AE15" s="8">
        <f t="shared" si="12"/>
        <v>4.9744391080428292</v>
      </c>
      <c r="AG15" s="1">
        <f t="shared" si="13"/>
        <v>24.741729531583733</v>
      </c>
      <c r="AH15" s="8">
        <f t="shared" si="14"/>
        <v>4.2976273270972749</v>
      </c>
      <c r="AJ15" s="1">
        <f t="shared" si="15"/>
        <v>22.716628083022538</v>
      </c>
      <c r="AK15" s="8">
        <f t="shared" si="16"/>
        <v>3.0810717640483016</v>
      </c>
      <c r="AM15" s="1">
        <f t="shared" si="17"/>
        <v>21.037048997575358</v>
      </c>
      <c r="AN15" s="8">
        <f t="shared" si="18"/>
        <v>2.1939834785224765</v>
      </c>
      <c r="AP15" s="1">
        <f t="shared" si="19"/>
        <v>20.243439548427322</v>
      </c>
      <c r="AQ15" s="8">
        <f t="shared" si="20"/>
        <v>1.7439934590199648</v>
      </c>
      <c r="AS15" s="1">
        <f t="shared" si="21"/>
        <v>18.937858856899226</v>
      </c>
      <c r="AT15" s="8">
        <f t="shared" si="22"/>
        <v>1.3521449773406289</v>
      </c>
      <c r="AV15" s="1">
        <f t="shared" si="23"/>
        <v>18.723803650578791</v>
      </c>
      <c r="AW15" s="8">
        <f t="shared" si="24"/>
        <v>1.1071300411407734</v>
      </c>
      <c r="AY15" s="1">
        <f t="shared" si="25"/>
        <v>18.734211354889439</v>
      </c>
      <c r="AZ15" s="8">
        <f t="shared" si="26"/>
        <v>0.91426745745188365</v>
      </c>
      <c r="BB15" s="1">
        <f t="shared" si="27"/>
        <v>18.734211354889439</v>
      </c>
      <c r="BC15" s="8">
        <f t="shared" si="28"/>
        <v>0.91426745745188365</v>
      </c>
      <c r="BE15" s="1">
        <f t="shared" si="29"/>
        <v>18.740679943582396</v>
      </c>
      <c r="BF15" s="8">
        <f t="shared" si="30"/>
        <v>0.77037349748836448</v>
      </c>
      <c r="BH15" s="1">
        <f t="shared" si="31"/>
        <v>18.740679943582396</v>
      </c>
      <c r="BI15" s="8">
        <f t="shared" si="32"/>
        <v>0.77037349748836448</v>
      </c>
      <c r="BK15" s="1">
        <f t="shared" si="33"/>
        <v>0</v>
      </c>
      <c r="BL15" s="8">
        <f t="shared" si="34"/>
        <v>0</v>
      </c>
      <c r="BN15" s="1">
        <f t="shared" si="35"/>
        <v>0</v>
      </c>
      <c r="BO15" s="8">
        <f t="shared" si="36"/>
        <v>0</v>
      </c>
      <c r="BQ15" s="1">
        <f t="shared" si="37"/>
        <v>0</v>
      </c>
      <c r="BR15" s="8">
        <f t="shared" si="38"/>
        <v>0</v>
      </c>
      <c r="BT15" s="1">
        <f t="shared" si="39"/>
        <v>0</v>
      </c>
      <c r="BU15" s="8">
        <f t="shared" si="40"/>
        <v>0</v>
      </c>
    </row>
    <row r="16" spans="1:73" x14ac:dyDescent="0.25">
      <c r="A16" s="57">
        <v>7.5014999999999998E-2</v>
      </c>
      <c r="B16" s="57">
        <v>9.2329999999999995E-2</v>
      </c>
      <c r="C16" s="57">
        <v>22.97</v>
      </c>
      <c r="D16" s="28"/>
      <c r="E16" s="32">
        <v>0.96358999999999995</v>
      </c>
      <c r="F16" s="35">
        <v>0.18729999999999999</v>
      </c>
      <c r="G16" s="34">
        <f t="shared" si="0"/>
        <v>0.46297999999999995</v>
      </c>
      <c r="H16" s="8">
        <f t="shared" si="41"/>
        <v>0.16985999999999998</v>
      </c>
      <c r="I16" s="26"/>
      <c r="J16" s="46">
        <v>0.9</v>
      </c>
      <c r="K16" s="47">
        <v>2.0400000000000001E-2</v>
      </c>
      <c r="L16" s="1">
        <f t="shared" si="1"/>
        <v>0.4</v>
      </c>
      <c r="M16" s="8">
        <f t="shared" si="2"/>
        <v>1.9600000000000003E-2</v>
      </c>
      <c r="O16" s="1">
        <f t="shared" si="42"/>
        <v>12.111565840460685</v>
      </c>
      <c r="P16" s="8">
        <f t="shared" si="43"/>
        <v>23.777758988165296</v>
      </c>
      <c r="R16" s="1">
        <f t="shared" si="3"/>
        <v>31.33221366810103</v>
      </c>
      <c r="S16" s="8">
        <f t="shared" si="4"/>
        <v>21.764495172865356</v>
      </c>
      <c r="U16" s="1">
        <f t="shared" si="5"/>
        <v>33.297415062154563</v>
      </c>
      <c r="V16" s="8">
        <f t="shared" si="6"/>
        <v>16.078857933597973</v>
      </c>
      <c r="X16" s="1">
        <f t="shared" si="7"/>
        <v>30.972009936753402</v>
      </c>
      <c r="Y16" s="8">
        <f t="shared" si="8"/>
        <v>11.318977581395981</v>
      </c>
      <c r="AA16" s="1">
        <f t="shared" si="9"/>
        <v>27.018133693202962</v>
      </c>
      <c r="AB16" s="8">
        <f t="shared" si="10"/>
        <v>7.6989942031288123</v>
      </c>
      <c r="AD16" s="1">
        <f t="shared" si="11"/>
        <v>22.659860870977479</v>
      </c>
      <c r="AE16" s="8">
        <f t="shared" si="12"/>
        <v>5.0133015449246443</v>
      </c>
      <c r="AG16" s="1">
        <f t="shared" si="13"/>
        <v>21.906954421226256</v>
      </c>
      <c r="AH16" s="8">
        <f t="shared" si="14"/>
        <v>4.3914588970604402</v>
      </c>
      <c r="AJ16" s="1">
        <f t="shared" si="15"/>
        <v>20.133768639881215</v>
      </c>
      <c r="AK16" s="8">
        <f t="shared" si="16"/>
        <v>3.2628520493151072</v>
      </c>
      <c r="AM16" s="1">
        <f t="shared" si="17"/>
        <v>18.660319745371147</v>
      </c>
      <c r="AN16" s="8">
        <f t="shared" si="18"/>
        <v>2.4352271697991288</v>
      </c>
      <c r="AP16" s="1">
        <f t="shared" si="19"/>
        <v>17.96481707309043</v>
      </c>
      <c r="AQ16" s="8">
        <f t="shared" si="20"/>
        <v>2.016743780437825</v>
      </c>
      <c r="AS16" s="1">
        <f t="shared" si="21"/>
        <v>16.812619451244434</v>
      </c>
      <c r="AT16" s="8">
        <f t="shared" si="22"/>
        <v>1.63819729386341</v>
      </c>
      <c r="AV16" s="1">
        <f t="shared" si="23"/>
        <v>16.627869732633673</v>
      </c>
      <c r="AW16" s="8">
        <f t="shared" si="24"/>
        <v>1.4153527173072522</v>
      </c>
      <c r="AY16" s="1">
        <f t="shared" si="25"/>
        <v>16.641562408794169</v>
      </c>
      <c r="AZ16" s="8">
        <f t="shared" si="26"/>
        <v>1.2440561699669492</v>
      </c>
      <c r="BB16" s="1">
        <f t="shared" si="27"/>
        <v>16.641562408794169</v>
      </c>
      <c r="BC16" s="8">
        <f t="shared" si="28"/>
        <v>1.2440561699669492</v>
      </c>
      <c r="BE16" s="1">
        <f t="shared" si="29"/>
        <v>16.650625273662399</v>
      </c>
      <c r="BF16" s="8">
        <f t="shared" si="30"/>
        <v>1.1162227178743822</v>
      </c>
      <c r="BH16" s="1">
        <f t="shared" si="31"/>
        <v>16.650625273662399</v>
      </c>
      <c r="BI16" s="8">
        <f t="shared" si="32"/>
        <v>1.1162227178743822</v>
      </c>
      <c r="BK16" s="1">
        <f t="shared" si="33"/>
        <v>0</v>
      </c>
      <c r="BL16" s="8">
        <f t="shared" si="34"/>
        <v>0</v>
      </c>
      <c r="BN16" s="1">
        <f t="shared" si="35"/>
        <v>0</v>
      </c>
      <c r="BO16" s="8">
        <f t="shared" si="36"/>
        <v>0</v>
      </c>
      <c r="BQ16" s="1">
        <f t="shared" si="37"/>
        <v>0</v>
      </c>
      <c r="BR16" s="8">
        <f t="shared" si="38"/>
        <v>0</v>
      </c>
      <c r="BT16" s="1">
        <f t="shared" si="39"/>
        <v>0</v>
      </c>
      <c r="BU16" s="8">
        <f t="shared" si="40"/>
        <v>0</v>
      </c>
    </row>
    <row r="17" spans="1:73" x14ac:dyDescent="0.25">
      <c r="A17" s="57">
        <v>0.10498499999999999</v>
      </c>
      <c r="B17" s="57">
        <v>8.2339999999999997E-2</v>
      </c>
      <c r="C17" s="57">
        <v>17.27</v>
      </c>
      <c r="D17" s="28"/>
      <c r="E17" s="32">
        <v>0.91934000000000005</v>
      </c>
      <c r="F17" s="35">
        <v>0.27232000000000001</v>
      </c>
      <c r="G17" s="34">
        <f t="shared" si="0"/>
        <v>0.41873000000000005</v>
      </c>
      <c r="H17" s="8">
        <f t="shared" si="41"/>
        <v>0.25488</v>
      </c>
      <c r="I17" s="26"/>
      <c r="J17" s="46">
        <v>0.8</v>
      </c>
      <c r="K17" s="47">
        <v>3.73E-2</v>
      </c>
      <c r="L17" s="1">
        <f t="shared" si="1"/>
        <v>0.30000000000000004</v>
      </c>
      <c r="M17" s="8">
        <f t="shared" si="2"/>
        <v>3.6499999999999998E-2</v>
      </c>
      <c r="O17" s="1">
        <f t="shared" si="42"/>
        <v>7.2271947485159158</v>
      </c>
      <c r="P17" s="8">
        <f t="shared" si="43"/>
        <v>25.521287361329136</v>
      </c>
      <c r="R17" s="1">
        <f t="shared" si="3"/>
        <v>22.399308684366943</v>
      </c>
      <c r="S17" s="8">
        <f t="shared" si="4"/>
        <v>18.084869751329254</v>
      </c>
      <c r="U17" s="1">
        <f t="shared" si="5"/>
        <v>24.187570250160856</v>
      </c>
      <c r="V17" s="8">
        <f t="shared" si="6"/>
        <v>13.912341632362201</v>
      </c>
      <c r="X17" s="1">
        <f t="shared" si="7"/>
        <v>22.696113405522023</v>
      </c>
      <c r="Y17" s="8">
        <f t="shared" si="8"/>
        <v>10.203319535905154</v>
      </c>
      <c r="AA17" s="1">
        <f t="shared" si="9"/>
        <v>19.916989224978263</v>
      </c>
      <c r="AB17" s="8">
        <f t="shared" si="10"/>
        <v>7.2637178798274453</v>
      </c>
      <c r="AD17" s="1">
        <f t="shared" si="11"/>
        <v>16.782693375160317</v>
      </c>
      <c r="AE17" s="8">
        <f t="shared" si="12"/>
        <v>5.0053364877873223</v>
      </c>
      <c r="AG17" s="1">
        <f t="shared" si="13"/>
        <v>16.24981696545176</v>
      </c>
      <c r="AH17" s="8">
        <f t="shared" si="14"/>
        <v>4.4963627324250908</v>
      </c>
      <c r="AJ17" s="1">
        <f t="shared" si="15"/>
        <v>14.976565422674467</v>
      </c>
      <c r="AK17" s="8">
        <f t="shared" si="16"/>
        <v>3.5504937196644422</v>
      </c>
      <c r="AM17" s="1">
        <f t="shared" si="17"/>
        <v>13.912550848348912</v>
      </c>
      <c r="AN17" s="8">
        <f t="shared" si="18"/>
        <v>2.8474595625453674</v>
      </c>
      <c r="AP17" s="1">
        <f t="shared" si="19"/>
        <v>13.411823668493964</v>
      </c>
      <c r="AQ17" s="8">
        <f t="shared" si="20"/>
        <v>2.4946680334916662</v>
      </c>
      <c r="AS17" s="1">
        <f t="shared" si="21"/>
        <v>12.565187246061354</v>
      </c>
      <c r="AT17" s="8">
        <f t="shared" si="22"/>
        <v>2.1471053202666055</v>
      </c>
      <c r="AV17" s="1">
        <f t="shared" si="23"/>
        <v>12.438248703786259</v>
      </c>
      <c r="AW17" s="8">
        <f t="shared" si="24"/>
        <v>1.969333464597735</v>
      </c>
      <c r="AY17" s="1">
        <f t="shared" si="25"/>
        <v>12.457867990208261</v>
      </c>
      <c r="AZ17" s="8">
        <f t="shared" si="26"/>
        <v>1.841149165757475</v>
      </c>
      <c r="BB17" s="1">
        <f t="shared" si="27"/>
        <v>12.457867990208261</v>
      </c>
      <c r="BC17" s="8">
        <f t="shared" si="28"/>
        <v>1.841149165757475</v>
      </c>
      <c r="BE17" s="1">
        <f t="shared" si="29"/>
        <v>12.471639518892651</v>
      </c>
      <c r="BF17" s="8">
        <f t="shared" si="30"/>
        <v>1.7454262582017406</v>
      </c>
      <c r="BH17" s="1">
        <f t="shared" si="31"/>
        <v>12.471639518892651</v>
      </c>
      <c r="BI17" s="8">
        <f t="shared" si="32"/>
        <v>1.7454262582017406</v>
      </c>
      <c r="BK17" s="1">
        <f t="shared" si="33"/>
        <v>0</v>
      </c>
      <c r="BL17" s="8">
        <f t="shared" si="34"/>
        <v>0</v>
      </c>
      <c r="BN17" s="1">
        <f t="shared" si="35"/>
        <v>0</v>
      </c>
      <c r="BO17" s="8">
        <f t="shared" si="36"/>
        <v>0</v>
      </c>
      <c r="BQ17" s="1">
        <f t="shared" si="37"/>
        <v>0</v>
      </c>
      <c r="BR17" s="8">
        <f t="shared" si="38"/>
        <v>0</v>
      </c>
      <c r="BT17" s="1">
        <f t="shared" si="39"/>
        <v>0</v>
      </c>
      <c r="BU17" s="8">
        <f t="shared" si="40"/>
        <v>0</v>
      </c>
    </row>
    <row r="18" spans="1:73" x14ac:dyDescent="0.25">
      <c r="A18" s="57">
        <v>0.13500000000000001</v>
      </c>
      <c r="B18" s="57">
        <v>7.0150000000000004E-2</v>
      </c>
      <c r="C18" s="57">
        <v>13.1</v>
      </c>
      <c r="D18" s="28"/>
      <c r="E18" s="32">
        <v>0.85967000000000005</v>
      </c>
      <c r="F18" s="35">
        <v>0.34733000000000003</v>
      </c>
      <c r="G18" s="34">
        <f t="shared" si="0"/>
        <v>0.35906000000000005</v>
      </c>
      <c r="H18" s="8">
        <f t="shared" si="41"/>
        <v>0.32989000000000002</v>
      </c>
      <c r="I18" s="26"/>
      <c r="J18" s="46">
        <v>0.7</v>
      </c>
      <c r="K18" s="47">
        <v>5.2499999999999998E-2</v>
      </c>
      <c r="L18" s="1">
        <f t="shared" si="1"/>
        <v>0.19999999999999996</v>
      </c>
      <c r="M18" s="8">
        <f t="shared" si="2"/>
        <v>5.1699999999999996E-2</v>
      </c>
      <c r="O18" s="1">
        <f t="shared" si="42"/>
        <v>2.099640231355921</v>
      </c>
      <c r="P18" s="8">
        <f t="shared" si="43"/>
        <v>26.300232640075368</v>
      </c>
      <c r="R18" s="1">
        <f t="shared" si="3"/>
        <v>13.552171942073446</v>
      </c>
      <c r="S18" s="8">
        <f t="shared" si="4"/>
        <v>14.267879777873135</v>
      </c>
      <c r="U18" s="1">
        <f t="shared" si="5"/>
        <v>15.138979327110887</v>
      </c>
      <c r="V18" s="8">
        <f t="shared" si="6"/>
        <v>11.601309876554028</v>
      </c>
      <c r="X18" s="1">
        <f t="shared" si="7"/>
        <v>14.461772832087568</v>
      </c>
      <c r="Y18" s="8">
        <f t="shared" si="8"/>
        <v>8.9539942062510729</v>
      </c>
      <c r="AA18" s="1">
        <f t="shared" si="9"/>
        <v>12.842874058421941</v>
      </c>
      <c r="AB18" s="8">
        <f t="shared" si="10"/>
        <v>6.7122900525482123</v>
      </c>
      <c r="AD18" s="1">
        <f t="shared" si="11"/>
        <v>10.922073763413044</v>
      </c>
      <c r="AE18" s="8">
        <f t="shared" si="12"/>
        <v>4.9002561756289209</v>
      </c>
      <c r="AG18" s="1">
        <f t="shared" si="13"/>
        <v>10.606747309943104</v>
      </c>
      <c r="AH18" s="8">
        <f t="shared" si="14"/>
        <v>4.5074726892865016</v>
      </c>
      <c r="AJ18" s="1">
        <f t="shared" si="15"/>
        <v>9.8290132970870676</v>
      </c>
      <c r="AK18" s="8">
        <f t="shared" si="16"/>
        <v>3.7520939698049336</v>
      </c>
      <c r="AM18" s="1">
        <f t="shared" si="17"/>
        <v>9.1712301730310362</v>
      </c>
      <c r="AN18" s="8">
        <f t="shared" si="18"/>
        <v>3.1800696335102634</v>
      </c>
      <c r="AP18" s="1">
        <f t="shared" si="19"/>
        <v>8.8636486827851328</v>
      </c>
      <c r="AQ18" s="8">
        <f t="shared" si="20"/>
        <v>2.8960057114593782</v>
      </c>
      <c r="AS18" s="1">
        <f t="shared" si="21"/>
        <v>8.3212078611549831</v>
      </c>
      <c r="AT18" s="8">
        <f t="shared" si="22"/>
        <v>2.5843905258084536</v>
      </c>
      <c r="AV18" s="1">
        <f t="shared" si="23"/>
        <v>8.251174056254035</v>
      </c>
      <c r="AW18" s="8">
        <f t="shared" si="24"/>
        <v>2.4525209928400802</v>
      </c>
      <c r="AY18" s="1">
        <f t="shared" si="25"/>
        <v>8.275990841707598</v>
      </c>
      <c r="AZ18" s="8">
        <f t="shared" si="26"/>
        <v>2.367426475076448</v>
      </c>
      <c r="BB18" s="1">
        <f t="shared" si="27"/>
        <v>8.275990841707598</v>
      </c>
      <c r="BC18" s="8">
        <f t="shared" si="28"/>
        <v>2.367426475076448</v>
      </c>
      <c r="BE18" s="1">
        <f t="shared" si="29"/>
        <v>8.2939271605358336</v>
      </c>
      <c r="BF18" s="8">
        <f t="shared" si="30"/>
        <v>2.3038022446917998</v>
      </c>
      <c r="BH18" s="1">
        <f t="shared" si="31"/>
        <v>8.2939271605358336</v>
      </c>
      <c r="BI18" s="8">
        <f t="shared" si="32"/>
        <v>2.3038022446917998</v>
      </c>
      <c r="BK18" s="1">
        <f t="shared" si="33"/>
        <v>0</v>
      </c>
      <c r="BL18" s="8">
        <f t="shared" si="34"/>
        <v>0</v>
      </c>
      <c r="BN18" s="1">
        <f t="shared" si="35"/>
        <v>0</v>
      </c>
      <c r="BO18" s="8">
        <f t="shared" si="36"/>
        <v>0</v>
      </c>
      <c r="BQ18" s="1">
        <f t="shared" si="37"/>
        <v>0</v>
      </c>
      <c r="BR18" s="8">
        <f t="shared" si="38"/>
        <v>0</v>
      </c>
      <c r="BT18" s="1">
        <f t="shared" si="39"/>
        <v>0</v>
      </c>
      <c r="BU18" s="8">
        <f t="shared" si="40"/>
        <v>0</v>
      </c>
    </row>
    <row r="19" spans="1:73" x14ac:dyDescent="0.25">
      <c r="A19" s="57">
        <v>0.165015</v>
      </c>
      <c r="B19" s="57">
        <v>5.7950000000000002E-2</v>
      </c>
      <c r="C19" s="57">
        <v>9.67</v>
      </c>
      <c r="D19" s="28"/>
      <c r="E19" s="32">
        <v>0.78678999999999999</v>
      </c>
      <c r="F19" s="35">
        <v>0.40958</v>
      </c>
      <c r="G19" s="34">
        <f t="shared" si="0"/>
        <v>0.28617999999999999</v>
      </c>
      <c r="H19" s="8">
        <f t="shared" si="41"/>
        <v>0.39213999999999999</v>
      </c>
      <c r="I19" s="26"/>
      <c r="J19" s="46">
        <v>0.6</v>
      </c>
      <c r="K19" s="47">
        <v>6.6100000000000006E-2</v>
      </c>
      <c r="L19" s="1">
        <f t="shared" si="1"/>
        <v>9.9999999999999978E-2</v>
      </c>
      <c r="M19" s="8">
        <f t="shared" si="2"/>
        <v>6.5300000000000011E-2</v>
      </c>
      <c r="O19" s="1">
        <f t="shared" si="42"/>
        <v>-3.0822243087106984</v>
      </c>
      <c r="P19" s="8">
        <f t="shared" si="43"/>
        <v>26.086861456194647</v>
      </c>
      <c r="R19" s="1">
        <f t="shared" si="3"/>
        <v>4.7857582505475786</v>
      </c>
      <c r="S19" s="8">
        <f t="shared" si="4"/>
        <v>10.321605520257</v>
      </c>
      <c r="U19" s="1">
        <f t="shared" si="5"/>
        <v>6.1480391230668019</v>
      </c>
      <c r="V19" s="8">
        <f t="shared" si="6"/>
        <v>9.1542635752659507</v>
      </c>
      <c r="X19" s="1">
        <f t="shared" si="7"/>
        <v>6.266543748344354</v>
      </c>
      <c r="Y19" s="8">
        <f t="shared" si="8"/>
        <v>7.5788643738551134</v>
      </c>
      <c r="AA19" s="1">
        <f t="shared" si="9"/>
        <v>5.7941982346123373</v>
      </c>
      <c r="AB19" s="8">
        <f t="shared" si="10"/>
        <v>6.0515431627015817</v>
      </c>
      <c r="AD19" s="1">
        <f t="shared" si="11"/>
        <v>5.0770286307903856</v>
      </c>
      <c r="AE19" s="8">
        <f t="shared" si="12"/>
        <v>4.7037732705095054</v>
      </c>
      <c r="AG19" s="1">
        <f t="shared" si="13"/>
        <v>4.9769179370376042</v>
      </c>
      <c r="AH19" s="8">
        <f t="shared" si="14"/>
        <v>4.4303060546154551</v>
      </c>
      <c r="AJ19" s="1">
        <f t="shared" si="15"/>
        <v>4.6905445518473057</v>
      </c>
      <c r="AK19" s="8">
        <f t="shared" si="16"/>
        <v>3.8727140597488674</v>
      </c>
      <c r="AM19" s="1">
        <f t="shared" si="17"/>
        <v>4.4359784122584447</v>
      </c>
      <c r="AN19" s="8">
        <f t="shared" si="18"/>
        <v>3.4377410486809579</v>
      </c>
      <c r="AP19" s="1">
        <f t="shared" si="19"/>
        <v>4.3200086795587929</v>
      </c>
      <c r="AQ19" s="8">
        <f t="shared" si="20"/>
        <v>3.2252619069930883</v>
      </c>
      <c r="AS19" s="1">
        <f t="shared" si="21"/>
        <v>4.0804781894502291</v>
      </c>
      <c r="AT19" s="8">
        <f t="shared" si="22"/>
        <v>2.954266017598445</v>
      </c>
      <c r="AV19" s="1">
        <f t="shared" si="23"/>
        <v>4.0664960029008261</v>
      </c>
      <c r="AW19" s="8">
        <f t="shared" si="24"/>
        <v>2.8690796090371196</v>
      </c>
      <c r="AY19" s="1">
        <f t="shared" si="25"/>
        <v>4.0958240650518887</v>
      </c>
      <c r="AZ19" s="8">
        <f t="shared" si="26"/>
        <v>2.8270537265398428</v>
      </c>
      <c r="BB19" s="1">
        <f t="shared" si="27"/>
        <v>4.0958240650518887</v>
      </c>
      <c r="BC19" s="8">
        <f t="shared" si="28"/>
        <v>2.8270537265398428</v>
      </c>
      <c r="BE19" s="1">
        <f t="shared" si="29"/>
        <v>4.1174132929206095</v>
      </c>
      <c r="BF19" s="8">
        <f t="shared" si="30"/>
        <v>2.7955170040408737</v>
      </c>
      <c r="BH19" s="1">
        <f t="shared" si="31"/>
        <v>4.1174132929206095</v>
      </c>
      <c r="BI19" s="8">
        <f t="shared" si="32"/>
        <v>2.7955170040408737</v>
      </c>
      <c r="BK19" s="1">
        <f t="shared" si="33"/>
        <v>0</v>
      </c>
      <c r="BL19" s="8">
        <f t="shared" si="34"/>
        <v>0</v>
      </c>
      <c r="BN19" s="1">
        <f t="shared" si="35"/>
        <v>0</v>
      </c>
      <c r="BO19" s="8">
        <f t="shared" si="36"/>
        <v>0</v>
      </c>
      <c r="BQ19" s="1">
        <f t="shared" si="37"/>
        <v>0</v>
      </c>
      <c r="BR19" s="8">
        <f t="shared" si="38"/>
        <v>0</v>
      </c>
      <c r="BT19" s="1">
        <f t="shared" si="39"/>
        <v>0</v>
      </c>
      <c r="BU19" s="8">
        <f t="shared" si="40"/>
        <v>0</v>
      </c>
    </row>
    <row r="20" spans="1:73" x14ac:dyDescent="0.25">
      <c r="A20" s="57">
        <v>0.19498499999999999</v>
      </c>
      <c r="B20" s="57">
        <v>5.5789999999999999E-2</v>
      </c>
      <c r="C20" s="57">
        <v>8.5299999999999994</v>
      </c>
      <c r="D20" s="28"/>
      <c r="E20" s="32">
        <v>0.70337000000000005</v>
      </c>
      <c r="F20" s="35">
        <v>0.45677000000000001</v>
      </c>
      <c r="G20" s="34">
        <f t="shared" si="0"/>
        <v>0.20276000000000005</v>
      </c>
      <c r="H20" s="8">
        <f t="shared" si="41"/>
        <v>0.43933</v>
      </c>
      <c r="I20" s="26"/>
      <c r="J20" s="46">
        <v>0.5</v>
      </c>
      <c r="K20" s="47">
        <v>7.7399999999999997E-2</v>
      </c>
      <c r="L20" s="1">
        <f t="shared" si="1"/>
        <v>0</v>
      </c>
      <c r="M20" s="8">
        <f t="shared" si="2"/>
        <v>7.6600000000000001E-2</v>
      </c>
      <c r="O20" s="1">
        <f t="shared" si="42"/>
        <v>-8.1278429688612217</v>
      </c>
      <c r="P20" s="8">
        <f t="shared" si="43"/>
        <v>24.888219879521273</v>
      </c>
      <c r="R20" s="1">
        <f t="shared" si="3"/>
        <v>-3.8646160554998343</v>
      </c>
      <c r="S20" s="8">
        <f t="shared" si="4"/>
        <v>6.1894851041608394</v>
      </c>
      <c r="U20" s="1">
        <f t="shared" si="5"/>
        <v>-2.7600281724063365</v>
      </c>
      <c r="V20" s="8">
        <f t="shared" si="6"/>
        <v>6.5116963648505095</v>
      </c>
      <c r="X20" s="1">
        <f t="shared" si="7"/>
        <v>-1.8724625689677132</v>
      </c>
      <c r="Y20" s="8">
        <f t="shared" si="8"/>
        <v>6.0228905687676937</v>
      </c>
      <c r="AA20" s="1">
        <f t="shared" si="9"/>
        <v>-1.2179085339988662</v>
      </c>
      <c r="AB20" s="8">
        <f t="shared" si="10"/>
        <v>5.2336501204143113</v>
      </c>
      <c r="AD20" s="1">
        <f t="shared" si="11"/>
        <v>-0.74562818809064646</v>
      </c>
      <c r="AE20" s="8">
        <f t="shared" si="12"/>
        <v>4.375899138008629</v>
      </c>
      <c r="AG20" s="1">
        <f t="shared" si="13"/>
        <v>-0.63387852962586611</v>
      </c>
      <c r="AH20" s="8">
        <f t="shared" si="14"/>
        <v>4.2262418196164955</v>
      </c>
      <c r="AJ20" s="1">
        <f t="shared" si="15"/>
        <v>-0.43486683414274085</v>
      </c>
      <c r="AK20" s="8">
        <f t="shared" si="16"/>
        <v>3.8769251694102471</v>
      </c>
      <c r="AM20" s="1">
        <f t="shared" si="17"/>
        <v>-0.29054928385530643</v>
      </c>
      <c r="AN20" s="8">
        <f t="shared" si="18"/>
        <v>3.5876881461474843</v>
      </c>
      <c r="AP20" s="1">
        <f t="shared" si="19"/>
        <v>-0.21711228634897553</v>
      </c>
      <c r="AQ20" s="8">
        <f t="shared" si="20"/>
        <v>3.4509009715279171</v>
      </c>
      <c r="AS20" s="1">
        <f t="shared" si="21"/>
        <v>-0.15558001952720604</v>
      </c>
      <c r="AT20" s="8">
        <f t="shared" si="22"/>
        <v>3.227240045870142</v>
      </c>
      <c r="AV20" s="1">
        <f t="shared" si="23"/>
        <v>-0.11473694632005628</v>
      </c>
      <c r="AW20" s="8">
        <f t="shared" si="24"/>
        <v>3.1898591641690306</v>
      </c>
      <c r="AY20" s="1">
        <f t="shared" si="25"/>
        <v>-8.1884052076714522E-2</v>
      </c>
      <c r="AZ20" s="8">
        <f t="shared" si="26"/>
        <v>3.1908715198358419</v>
      </c>
      <c r="BB20" s="1">
        <f t="shared" si="27"/>
        <v>-8.1884052076714522E-2</v>
      </c>
      <c r="BC20" s="8">
        <f t="shared" si="28"/>
        <v>3.1908715198358419</v>
      </c>
      <c r="BE20" s="1">
        <f t="shared" si="29"/>
        <v>-5.7377744253580158E-2</v>
      </c>
      <c r="BF20" s="8">
        <f t="shared" si="30"/>
        <v>3.1914062493747757</v>
      </c>
      <c r="BH20" s="1">
        <f t="shared" si="31"/>
        <v>-5.7377744253580158E-2</v>
      </c>
      <c r="BI20" s="8">
        <f t="shared" si="32"/>
        <v>3.1914062493747757</v>
      </c>
      <c r="BK20" s="1">
        <f t="shared" si="33"/>
        <v>0</v>
      </c>
      <c r="BL20" s="8">
        <f t="shared" si="34"/>
        <v>0</v>
      </c>
      <c r="BN20" s="1">
        <f t="shared" si="35"/>
        <v>0</v>
      </c>
      <c r="BO20" s="8">
        <f t="shared" si="36"/>
        <v>0</v>
      </c>
      <c r="BQ20" s="1">
        <f t="shared" si="37"/>
        <v>0</v>
      </c>
      <c r="BR20" s="8">
        <f t="shared" si="38"/>
        <v>0</v>
      </c>
      <c r="BT20" s="1">
        <f t="shared" si="39"/>
        <v>0</v>
      </c>
      <c r="BU20" s="8">
        <f t="shared" si="40"/>
        <v>0</v>
      </c>
    </row>
    <row r="21" spans="1:73" x14ac:dyDescent="0.25">
      <c r="A21" s="57">
        <v>0.22500000000000001</v>
      </c>
      <c r="B21" s="57">
        <v>5.0930000000000003E-2</v>
      </c>
      <c r="C21" s="57">
        <v>6.4</v>
      </c>
      <c r="D21" s="28"/>
      <c r="E21" s="32">
        <v>0.61248000000000002</v>
      </c>
      <c r="F21" s="35">
        <v>0.48719000000000001</v>
      </c>
      <c r="G21" s="34">
        <f t="shared" si="0"/>
        <v>0.11187000000000002</v>
      </c>
      <c r="H21" s="8">
        <f t="shared" si="41"/>
        <v>0.46975</v>
      </c>
      <c r="I21" s="26"/>
      <c r="J21" s="46">
        <v>0.4</v>
      </c>
      <c r="K21" s="47">
        <v>8.5900000000000004E-2</v>
      </c>
      <c r="L21" s="1">
        <f t="shared" si="1"/>
        <v>-9.9999999999999978E-2</v>
      </c>
      <c r="M21" s="8">
        <f t="shared" si="2"/>
        <v>8.5100000000000009E-2</v>
      </c>
      <c r="O21" s="1">
        <f t="shared" si="42"/>
        <v>-12.852510019313492</v>
      </c>
      <c r="P21" s="8">
        <f t="shared" si="43"/>
        <v>22.749477954648256</v>
      </c>
      <c r="R21" s="1">
        <f t="shared" si="3"/>
        <v>-12.373725022703912</v>
      </c>
      <c r="S21" s="8">
        <f t="shared" si="4"/>
        <v>1.8311171907846482</v>
      </c>
      <c r="U21" s="1">
        <f t="shared" si="5"/>
        <v>-11.567206709619191</v>
      </c>
      <c r="V21" s="8">
        <f t="shared" si="6"/>
        <v>3.6311036998452324</v>
      </c>
      <c r="X21" s="1">
        <f t="shared" si="7"/>
        <v>-9.9430237793201268</v>
      </c>
      <c r="Y21" s="8">
        <f t="shared" si="8"/>
        <v>4.2467588838819772</v>
      </c>
      <c r="AA21" s="1">
        <f t="shared" si="9"/>
        <v>-8.1854964528033225</v>
      </c>
      <c r="AB21" s="8">
        <f t="shared" si="10"/>
        <v>4.2244487186340907</v>
      </c>
      <c r="AD21" s="1">
        <f t="shared" si="11"/>
        <v>-6.5410296685036142</v>
      </c>
      <c r="AE21" s="8">
        <f t="shared" si="12"/>
        <v>3.8880704678259752</v>
      </c>
      <c r="AG21" s="1">
        <f t="shared" si="13"/>
        <v>-6.2215045017338211</v>
      </c>
      <c r="AH21" s="8">
        <f t="shared" si="14"/>
        <v>3.8676935494357338</v>
      </c>
      <c r="AJ21" s="1">
        <f t="shared" si="15"/>
        <v>-5.5443823045244365</v>
      </c>
      <c r="AK21" s="8">
        <f t="shared" si="16"/>
        <v>3.7394209987276499</v>
      </c>
      <c r="AM21" s="1">
        <f t="shared" si="17"/>
        <v>-5.0064563795148169</v>
      </c>
      <c r="AN21" s="8">
        <f t="shared" si="18"/>
        <v>3.6064925959741556</v>
      </c>
      <c r="AP21" s="1">
        <f t="shared" si="19"/>
        <v>-4.7462970329123948</v>
      </c>
      <c r="AQ21" s="8">
        <f t="shared" si="20"/>
        <v>3.5503974418032396</v>
      </c>
      <c r="AS21" s="1">
        <f t="shared" si="21"/>
        <v>-4.3859512304018189</v>
      </c>
      <c r="AT21" s="8">
        <f t="shared" si="22"/>
        <v>3.3822470750760898</v>
      </c>
      <c r="AV21" s="1">
        <f t="shared" si="23"/>
        <v>-4.2917758557276739</v>
      </c>
      <c r="AW21" s="8">
        <f t="shared" si="24"/>
        <v>3.3940381232216565</v>
      </c>
      <c r="AY21" s="1">
        <f t="shared" si="25"/>
        <v>-4.2565990184766642</v>
      </c>
      <c r="AZ21" s="8">
        <f t="shared" si="26"/>
        <v>3.438051711884579</v>
      </c>
      <c r="BB21" s="1">
        <f t="shared" si="27"/>
        <v>-4.2565990184766642</v>
      </c>
      <c r="BC21" s="8">
        <f t="shared" si="28"/>
        <v>3.438051711884579</v>
      </c>
      <c r="BE21" s="1">
        <f t="shared" si="29"/>
        <v>-4.2300714226299885</v>
      </c>
      <c r="BF21" s="8">
        <f t="shared" si="30"/>
        <v>3.47063834721195</v>
      </c>
      <c r="BH21" s="1">
        <f t="shared" si="31"/>
        <v>-4.2300714226299885</v>
      </c>
      <c r="BI21" s="8">
        <f t="shared" si="32"/>
        <v>3.47063834721195</v>
      </c>
      <c r="BK21" s="1">
        <f t="shared" si="33"/>
        <v>0</v>
      </c>
      <c r="BL21" s="8">
        <f t="shared" si="34"/>
        <v>0</v>
      </c>
      <c r="BN21" s="1">
        <f t="shared" si="35"/>
        <v>0</v>
      </c>
      <c r="BO21" s="8">
        <f t="shared" si="36"/>
        <v>0</v>
      </c>
      <c r="BQ21" s="1">
        <f t="shared" si="37"/>
        <v>0</v>
      </c>
      <c r="BR21" s="8">
        <f t="shared" si="38"/>
        <v>0</v>
      </c>
      <c r="BT21" s="1">
        <f t="shared" si="39"/>
        <v>0</v>
      </c>
      <c r="BU21" s="8">
        <f t="shared" si="40"/>
        <v>0</v>
      </c>
    </row>
    <row r="22" spans="1:73" x14ac:dyDescent="0.25">
      <c r="A22" s="57">
        <v>0.25501499999999999</v>
      </c>
      <c r="B22" s="57">
        <v>4.6990000000000004E-2</v>
      </c>
      <c r="C22" s="57">
        <v>4.63</v>
      </c>
      <c r="D22" s="28"/>
      <c r="E22" s="32">
        <v>0.51744999999999997</v>
      </c>
      <c r="F22" s="35">
        <v>0.49969999999999998</v>
      </c>
      <c r="G22" s="34">
        <f t="shared" si="0"/>
        <v>1.6839999999999966E-2</v>
      </c>
      <c r="H22" s="8">
        <f t="shared" si="41"/>
        <v>0.48225999999999997</v>
      </c>
      <c r="I22" s="26"/>
      <c r="J22" s="46">
        <v>0.3</v>
      </c>
      <c r="K22" s="47">
        <v>9.0499999999999997E-2</v>
      </c>
      <c r="L22" s="1">
        <f t="shared" si="1"/>
        <v>-0.2</v>
      </c>
      <c r="M22" s="8">
        <f t="shared" si="2"/>
        <v>8.9700000000000002E-2</v>
      </c>
      <c r="O22" s="1">
        <f t="shared" si="42"/>
        <v>-17.082186685031942</v>
      </c>
      <c r="P22" s="8">
        <f t="shared" si="43"/>
        <v>19.7479835714303</v>
      </c>
      <c r="R22" s="1">
        <f t="shared" si="3"/>
        <v>-20.686071553661918</v>
      </c>
      <c r="S22" s="8">
        <f t="shared" si="4"/>
        <v>-2.8423811652315876</v>
      </c>
      <c r="U22" s="1">
        <f t="shared" si="5"/>
        <v>-20.233861619255226</v>
      </c>
      <c r="V22" s="8">
        <f t="shared" si="6"/>
        <v>0.41897558023268106</v>
      </c>
      <c r="X22" s="1">
        <f t="shared" si="7"/>
        <v>-17.91825073355017</v>
      </c>
      <c r="Y22" s="8">
        <f t="shared" si="8"/>
        <v>2.1639787235629178</v>
      </c>
      <c r="AA22" s="1">
        <f t="shared" si="9"/>
        <v>-15.091075973662672</v>
      </c>
      <c r="AB22" s="8">
        <f t="shared" si="10"/>
        <v>2.9487821018458287</v>
      </c>
      <c r="AD22" s="1">
        <f t="shared" si="11"/>
        <v>-12.29846835605035</v>
      </c>
      <c r="AE22" s="8">
        <f t="shared" si="12"/>
        <v>3.1774479773008446</v>
      </c>
      <c r="AG22" s="1">
        <f t="shared" si="13"/>
        <v>-11.776857284996597</v>
      </c>
      <c r="AH22" s="8">
        <f t="shared" si="14"/>
        <v>3.2939710873946013</v>
      </c>
      <c r="AJ22" s="1">
        <f t="shared" si="15"/>
        <v>-10.631757035308789</v>
      </c>
      <c r="AK22" s="8">
        <f t="shared" si="16"/>
        <v>3.4045276875659396</v>
      </c>
      <c r="AM22" s="1">
        <f t="shared" si="17"/>
        <v>-9.7075704959702076</v>
      </c>
      <c r="AN22" s="8">
        <f t="shared" si="18"/>
        <v>3.4426340723024547</v>
      </c>
      <c r="AP22" s="1">
        <f t="shared" si="19"/>
        <v>-9.26442775967476</v>
      </c>
      <c r="AQ22" s="8">
        <f t="shared" si="20"/>
        <v>3.4741952986456788</v>
      </c>
      <c r="AS22" s="1">
        <f t="shared" si="21"/>
        <v>-8.6084012653475046</v>
      </c>
      <c r="AT22" s="8">
        <f t="shared" si="22"/>
        <v>3.3729429270118869</v>
      </c>
      <c r="AV22" s="1">
        <f t="shared" si="23"/>
        <v>-8.4629730668239578</v>
      </c>
      <c r="AW22" s="8">
        <f t="shared" si="24"/>
        <v>3.4358091091638485</v>
      </c>
      <c r="AY22" s="1">
        <f t="shared" si="25"/>
        <v>-8.4271449535045644</v>
      </c>
      <c r="AZ22" s="8">
        <f t="shared" si="26"/>
        <v>3.522772387910341</v>
      </c>
      <c r="BB22" s="1">
        <f t="shared" si="27"/>
        <v>-8.4271449535045644</v>
      </c>
      <c r="BC22" s="8">
        <f t="shared" si="28"/>
        <v>3.522772387910341</v>
      </c>
      <c r="BE22" s="1">
        <f t="shared" si="29"/>
        <v>-8.3998437798237759</v>
      </c>
      <c r="BF22" s="8">
        <f t="shared" si="30"/>
        <v>3.5873837038929679</v>
      </c>
      <c r="BH22" s="1">
        <f t="shared" si="31"/>
        <v>-8.3998437798237759</v>
      </c>
      <c r="BI22" s="8">
        <f t="shared" si="32"/>
        <v>3.5873837038929679</v>
      </c>
      <c r="BK22" s="1">
        <f t="shared" si="33"/>
        <v>0</v>
      </c>
      <c r="BL22" s="8">
        <f t="shared" si="34"/>
        <v>0</v>
      </c>
      <c r="BN22" s="1">
        <f t="shared" si="35"/>
        <v>0</v>
      </c>
      <c r="BO22" s="8">
        <f t="shared" si="36"/>
        <v>0</v>
      </c>
      <c r="BQ22" s="1">
        <f t="shared" si="37"/>
        <v>0</v>
      </c>
      <c r="BR22" s="8">
        <f t="shared" si="38"/>
        <v>0</v>
      </c>
      <c r="BT22" s="1">
        <f t="shared" si="39"/>
        <v>0</v>
      </c>
      <c r="BU22" s="8">
        <f t="shared" si="40"/>
        <v>0</v>
      </c>
    </row>
    <row r="23" spans="1:73" x14ac:dyDescent="0.25">
      <c r="A23" s="57">
        <v>0.28498499999999999</v>
      </c>
      <c r="B23" s="57">
        <v>4.514E-2</v>
      </c>
      <c r="C23" s="57">
        <v>3.6</v>
      </c>
      <c r="D23" s="28"/>
      <c r="E23" s="32">
        <v>0.42177999999999999</v>
      </c>
      <c r="F23" s="35">
        <v>0.49384</v>
      </c>
      <c r="G23" s="34">
        <f t="shared" si="0"/>
        <v>-7.8830000000000011E-2</v>
      </c>
      <c r="H23" s="8">
        <f t="shared" si="41"/>
        <v>0.47639999999999999</v>
      </c>
      <c r="I23" s="26"/>
      <c r="J23" s="46">
        <v>0.25</v>
      </c>
      <c r="K23" s="47">
        <v>9.0800000000000006E-2</v>
      </c>
      <c r="L23" s="1">
        <f t="shared" si="1"/>
        <v>-0.25</v>
      </c>
      <c r="M23" s="8">
        <f t="shared" si="2"/>
        <v>9.0000000000000011E-2</v>
      </c>
      <c r="N23" s="15"/>
      <c r="O23" s="1">
        <f t="shared" si="42"/>
        <v>-20.661119543582288</v>
      </c>
      <c r="P23" s="8">
        <f t="shared" si="43"/>
        <v>15.9943129099125</v>
      </c>
      <c r="R23" s="1">
        <f t="shared" si="3"/>
        <v>-24.741341005681392</v>
      </c>
      <c r="S23" s="8">
        <f t="shared" si="4"/>
        <v>-5.3407356984397252</v>
      </c>
      <c r="U23" s="1">
        <f t="shared" si="5"/>
        <v>-24.495125675315894</v>
      </c>
      <c r="V23" s="8">
        <f t="shared" si="6"/>
        <v>-1.357106661423475</v>
      </c>
      <c r="X23" s="1">
        <f t="shared" si="7"/>
        <v>-21.856974848551143</v>
      </c>
      <c r="Y23" s="8">
        <f t="shared" si="8"/>
        <v>0.96533301497603374</v>
      </c>
      <c r="AA23" s="1">
        <f t="shared" si="9"/>
        <v>-18.512066555658954</v>
      </c>
      <c r="AB23" s="8">
        <f t="shared" si="10"/>
        <v>2.1742999652424491</v>
      </c>
      <c r="AD23" s="1">
        <f t="shared" si="11"/>
        <v>-15.157719600917954</v>
      </c>
      <c r="AE23" s="8">
        <f t="shared" si="12"/>
        <v>2.7078834908370104</v>
      </c>
      <c r="AG23" s="1">
        <f t="shared" si="13"/>
        <v>-14.537983323374046</v>
      </c>
      <c r="AH23" s="8">
        <f t="shared" si="14"/>
        <v>2.8967641169584613</v>
      </c>
      <c r="AJ23" s="1">
        <f t="shared" si="15"/>
        <v>-13.164090175266429</v>
      </c>
      <c r="AK23" s="8">
        <f t="shared" si="16"/>
        <v>3.135855831739387</v>
      </c>
      <c r="AM23" s="1">
        <f t="shared" si="17"/>
        <v>-12.050541411016303</v>
      </c>
      <c r="AN23" s="8">
        <f t="shared" si="18"/>
        <v>3.2670314907238516</v>
      </c>
      <c r="AP23" s="1">
        <f t="shared" si="19"/>
        <v>-11.517824394952834</v>
      </c>
      <c r="AQ23" s="8">
        <f t="shared" si="20"/>
        <v>3.3459923740243958</v>
      </c>
      <c r="AS23" s="1">
        <f t="shared" si="21"/>
        <v>-10.71556414131833</v>
      </c>
      <c r="AT23" s="8">
        <f t="shared" si="22"/>
        <v>3.2840287107899644</v>
      </c>
      <c r="AV23" s="1">
        <f t="shared" si="23"/>
        <v>-10.545575929648338</v>
      </c>
      <c r="AW23" s="8">
        <f t="shared" si="24"/>
        <v>3.3734084620783125</v>
      </c>
      <c r="AY23" s="1">
        <f t="shared" si="25"/>
        <v>-10.510279956212335</v>
      </c>
      <c r="AZ23" s="8">
        <f t="shared" si="26"/>
        <v>3.4818201536037496</v>
      </c>
      <c r="BB23" s="1">
        <f t="shared" si="27"/>
        <v>-10.510279956212335</v>
      </c>
      <c r="BC23" s="8">
        <f t="shared" si="28"/>
        <v>3.4818201536037496</v>
      </c>
      <c r="BE23" s="1">
        <f t="shared" si="29"/>
        <v>-10.483231844993682</v>
      </c>
      <c r="BF23" s="8">
        <f t="shared" si="30"/>
        <v>3.5624298483072425</v>
      </c>
      <c r="BH23" s="1">
        <f t="shared" si="31"/>
        <v>-10.483231844993682</v>
      </c>
      <c r="BI23" s="8">
        <f t="shared" si="32"/>
        <v>3.5624298483072425</v>
      </c>
      <c r="BK23" s="1">
        <f t="shared" si="33"/>
        <v>0</v>
      </c>
      <c r="BL23" s="8">
        <f t="shared" si="34"/>
        <v>0</v>
      </c>
      <c r="BN23" s="1">
        <f t="shared" si="35"/>
        <v>0</v>
      </c>
      <c r="BO23" s="8">
        <f t="shared" si="36"/>
        <v>0</v>
      </c>
      <c r="BQ23" s="1">
        <f t="shared" si="37"/>
        <v>0</v>
      </c>
      <c r="BR23" s="8">
        <f t="shared" si="38"/>
        <v>0</v>
      </c>
      <c r="BT23" s="1">
        <f t="shared" si="39"/>
        <v>0</v>
      </c>
      <c r="BU23" s="8">
        <f t="shared" si="40"/>
        <v>0</v>
      </c>
    </row>
    <row r="24" spans="1:73" x14ac:dyDescent="0.25">
      <c r="A24" s="57">
        <v>0.315</v>
      </c>
      <c r="B24" s="57">
        <v>4.2180000000000002E-2</v>
      </c>
      <c r="C24" s="57">
        <v>2.76</v>
      </c>
      <c r="D24" s="28"/>
      <c r="E24" s="32">
        <v>0.32899</v>
      </c>
      <c r="F24" s="35">
        <v>0.46984999999999999</v>
      </c>
      <c r="G24" s="34">
        <f t="shared" si="0"/>
        <v>-0.17161999999999999</v>
      </c>
      <c r="H24" s="8">
        <f t="shared" si="41"/>
        <v>0.45240999999999998</v>
      </c>
      <c r="I24" s="26"/>
      <c r="J24" s="46">
        <v>0.2</v>
      </c>
      <c r="K24" s="47">
        <v>8.9200000000000002E-2</v>
      </c>
      <c r="L24" s="1">
        <f t="shared" si="1"/>
        <v>-0.3</v>
      </c>
      <c r="M24" s="8">
        <f t="shared" si="2"/>
        <v>8.8400000000000006E-2</v>
      </c>
      <c r="N24" s="15"/>
      <c r="O24" s="1">
        <f t="shared" si="42"/>
        <v>-23.458526187842907</v>
      </c>
      <c r="P24" s="8">
        <f t="shared" si="43"/>
        <v>11.627542793643109</v>
      </c>
      <c r="R24" s="1">
        <f t="shared" si="3"/>
        <v>-28.700751834914321</v>
      </c>
      <c r="S24" s="8">
        <f t="shared" si="4"/>
        <v>-7.9926153190878875</v>
      </c>
      <c r="U24" s="1">
        <f t="shared" si="5"/>
        <v>-28.687929502557086</v>
      </c>
      <c r="V24" s="8">
        <f t="shared" si="6"/>
        <v>-3.2947061758370206</v>
      </c>
      <c r="X24" s="1">
        <f t="shared" si="7"/>
        <v>-25.749254069543785</v>
      </c>
      <c r="Y24" s="8">
        <f t="shared" si="8"/>
        <v>-0.38270554061683837</v>
      </c>
      <c r="AA24" s="1">
        <f t="shared" si="9"/>
        <v>-21.902847918143511</v>
      </c>
      <c r="AB24" s="8">
        <f t="shared" si="10"/>
        <v>1.2700014418402783</v>
      </c>
      <c r="AD24" s="1">
        <f t="shared" si="11"/>
        <v>-17.998476151825088</v>
      </c>
      <c r="AE24" s="8">
        <f t="shared" si="12"/>
        <v>2.1297784252319691</v>
      </c>
      <c r="AG24" s="1">
        <f t="shared" si="13"/>
        <v>-17.283386526160253</v>
      </c>
      <c r="AH24" s="8">
        <f t="shared" si="14"/>
        <v>2.3947286940775254</v>
      </c>
      <c r="AJ24" s="1">
        <f t="shared" si="15"/>
        <v>-15.685636801061259</v>
      </c>
      <c r="AK24" s="8">
        <f t="shared" si="16"/>
        <v>2.7710200356794203</v>
      </c>
      <c r="AM24" s="1">
        <f t="shared" si="17"/>
        <v>-14.386305490039872</v>
      </c>
      <c r="AN24" s="8">
        <f t="shared" si="18"/>
        <v>3.0024392553896306</v>
      </c>
      <c r="AP24" s="1">
        <f t="shared" si="19"/>
        <v>-13.765835738532958</v>
      </c>
      <c r="AQ24" s="8">
        <f t="shared" si="20"/>
        <v>3.1321926890127307</v>
      </c>
      <c r="AS24" s="1">
        <f t="shared" si="21"/>
        <v>-12.818867982862239</v>
      </c>
      <c r="AT24" s="8">
        <f t="shared" si="22"/>
        <v>3.1150654594877119</v>
      </c>
      <c r="AV24" s="1">
        <f t="shared" si="23"/>
        <v>-12.625332836885148</v>
      </c>
      <c r="AW24" s="8">
        <f t="shared" si="24"/>
        <v>3.2318859819389743</v>
      </c>
      <c r="AY24" s="1">
        <f t="shared" si="25"/>
        <v>-12.591383892354232</v>
      </c>
      <c r="AZ24" s="8">
        <f t="shared" si="26"/>
        <v>3.3617209755936566</v>
      </c>
      <c r="BB24" s="1">
        <f t="shared" si="27"/>
        <v>-12.591383892354232</v>
      </c>
      <c r="BC24" s="8">
        <f t="shared" si="28"/>
        <v>3.3617209755936566</v>
      </c>
      <c r="BE24" s="1">
        <f t="shared" si="29"/>
        <v>-12.565196702407951</v>
      </c>
      <c r="BF24" s="8">
        <f t="shared" si="30"/>
        <v>3.4583157854915942</v>
      </c>
      <c r="BH24" s="1">
        <f t="shared" si="31"/>
        <v>-12.565196702407951</v>
      </c>
      <c r="BI24" s="8">
        <f t="shared" si="32"/>
        <v>3.4583157854915942</v>
      </c>
      <c r="BK24" s="1">
        <f t="shared" si="33"/>
        <v>0</v>
      </c>
      <c r="BL24" s="8">
        <f t="shared" si="34"/>
        <v>0</v>
      </c>
      <c r="BN24" s="1">
        <f t="shared" si="35"/>
        <v>0</v>
      </c>
      <c r="BO24" s="8">
        <f t="shared" si="36"/>
        <v>0</v>
      </c>
      <c r="BQ24" s="1">
        <f t="shared" si="37"/>
        <v>0</v>
      </c>
      <c r="BR24" s="8">
        <f t="shared" si="38"/>
        <v>0</v>
      </c>
      <c r="BT24" s="1">
        <f t="shared" si="39"/>
        <v>0</v>
      </c>
      <c r="BU24" s="8">
        <f t="shared" si="40"/>
        <v>0</v>
      </c>
    </row>
    <row r="25" spans="1:73" x14ac:dyDescent="0.25">
      <c r="A25">
        <v>0.34501500000000002</v>
      </c>
      <c r="B25">
        <v>4.1669999999999999E-2</v>
      </c>
      <c r="C25">
        <v>2.06</v>
      </c>
      <c r="E25" s="32">
        <v>0.24248</v>
      </c>
      <c r="F25" s="35">
        <v>0.42858000000000002</v>
      </c>
      <c r="G25" s="34">
        <f t="shared" si="0"/>
        <v>-0.25812999999999997</v>
      </c>
      <c r="H25" s="8">
        <f t="shared" si="41"/>
        <v>0.41114000000000001</v>
      </c>
      <c r="I25" s="26"/>
      <c r="J25" s="46">
        <v>0.15</v>
      </c>
      <c r="K25" s="47">
        <v>8.5199999999999998E-2</v>
      </c>
      <c r="L25" s="1">
        <f t="shared" si="1"/>
        <v>-0.35</v>
      </c>
      <c r="M25" s="8">
        <f t="shared" si="2"/>
        <v>8.4400000000000003E-2</v>
      </c>
      <c r="N25" s="15"/>
      <c r="O25" s="1">
        <f t="shared" si="42"/>
        <v>-25.370835578976756</v>
      </c>
      <c r="P25" s="8">
        <f t="shared" si="43"/>
        <v>6.806528108075705</v>
      </c>
      <c r="R25" s="1">
        <f t="shared" si="3"/>
        <v>-32.539078087995819</v>
      </c>
      <c r="S25" s="8">
        <f t="shared" si="4"/>
        <v>-10.838421365976071</v>
      </c>
      <c r="U25" s="1">
        <f t="shared" si="5"/>
        <v>-32.794257251289459</v>
      </c>
      <c r="V25" s="8">
        <f t="shared" si="6"/>
        <v>-5.4363275084704252</v>
      </c>
      <c r="X25" s="1">
        <f t="shared" si="7"/>
        <v>-29.582866055999581</v>
      </c>
      <c r="Y25" s="8">
        <f t="shared" si="8"/>
        <v>-1.9194508503225369</v>
      </c>
      <c r="AA25" s="1">
        <f t="shared" si="9"/>
        <v>-25.255470266508002</v>
      </c>
      <c r="AB25" s="8">
        <f t="shared" si="10"/>
        <v>0.20172432458700751</v>
      </c>
      <c r="AD25" s="1">
        <f t="shared" si="11"/>
        <v>-20.815870984045308</v>
      </c>
      <c r="AE25" s="8">
        <f t="shared" si="12"/>
        <v>1.4145694701854048</v>
      </c>
      <c r="AG25" s="1">
        <f t="shared" si="13"/>
        <v>-20.008929305041729</v>
      </c>
      <c r="AH25" s="8">
        <f t="shared" si="14"/>
        <v>1.7602783838979001</v>
      </c>
      <c r="AJ25" s="1">
        <f t="shared" si="15"/>
        <v>-18.193558356334645</v>
      </c>
      <c r="AK25" s="8">
        <f t="shared" si="16"/>
        <v>2.2847139993246155</v>
      </c>
      <c r="AM25" s="1">
        <f t="shared" si="17"/>
        <v>-16.712966197245525</v>
      </c>
      <c r="AN25" s="8">
        <f t="shared" si="18"/>
        <v>2.6254390363641051</v>
      </c>
      <c r="AP25" s="1">
        <f t="shared" si="19"/>
        <v>-16.00704460838935</v>
      </c>
      <c r="AQ25" s="8">
        <f t="shared" si="20"/>
        <v>2.8102707803500619</v>
      </c>
      <c r="AS25" s="1">
        <f t="shared" si="21"/>
        <v>-14.91729725460373</v>
      </c>
      <c r="AT25" s="8">
        <f t="shared" si="22"/>
        <v>2.8449876375576748</v>
      </c>
      <c r="AV25" s="1">
        <f t="shared" si="23"/>
        <v>-14.70149485285344</v>
      </c>
      <c r="AW25" s="8">
        <f t="shared" si="24"/>
        <v>2.990420133731678</v>
      </c>
      <c r="AY25" s="1">
        <f t="shared" si="25"/>
        <v>-14.669922270728714</v>
      </c>
      <c r="AZ25" s="8">
        <f t="shared" si="26"/>
        <v>3.1416467108001962</v>
      </c>
      <c r="BB25" s="1">
        <f t="shared" si="27"/>
        <v>-14.669922270728714</v>
      </c>
      <c r="BC25" s="8">
        <f t="shared" si="28"/>
        <v>3.1416467108001962</v>
      </c>
      <c r="BE25" s="1">
        <f t="shared" si="29"/>
        <v>-14.645363823709836</v>
      </c>
      <c r="BF25" s="8">
        <f t="shared" si="30"/>
        <v>3.2542098819644645</v>
      </c>
      <c r="BH25" s="1">
        <f t="shared" si="31"/>
        <v>-14.645363823709836</v>
      </c>
      <c r="BI25" s="8">
        <f t="shared" si="32"/>
        <v>3.2542098819644645</v>
      </c>
      <c r="BK25" s="1">
        <f t="shared" si="33"/>
        <v>0</v>
      </c>
      <c r="BL25" s="8">
        <f t="shared" si="34"/>
        <v>0</v>
      </c>
      <c r="BN25" s="1">
        <f t="shared" si="35"/>
        <v>0</v>
      </c>
      <c r="BO25" s="8">
        <f t="shared" si="36"/>
        <v>0</v>
      </c>
      <c r="BQ25" s="1">
        <f t="shared" si="37"/>
        <v>0</v>
      </c>
      <c r="BR25" s="8">
        <f t="shared" si="38"/>
        <v>0</v>
      </c>
      <c r="BT25" s="1">
        <f t="shared" si="39"/>
        <v>0</v>
      </c>
      <c r="BU25" s="8">
        <f t="shared" si="40"/>
        <v>0</v>
      </c>
    </row>
    <row r="26" spans="1:73" x14ac:dyDescent="0.25">
      <c r="A26">
        <v>0.37498500000000001</v>
      </c>
      <c r="B26">
        <v>4.1669999999999999E-2</v>
      </c>
      <c r="C26">
        <v>1.47</v>
      </c>
      <c r="E26" s="32">
        <v>0.16542999999999999</v>
      </c>
      <c r="F26" s="35">
        <v>0.37157000000000001</v>
      </c>
      <c r="G26" s="34">
        <f t="shared" si="0"/>
        <v>-0.33518000000000003</v>
      </c>
      <c r="H26" s="8">
        <f t="shared" si="41"/>
        <v>0.35413</v>
      </c>
      <c r="I26" s="26"/>
      <c r="J26" s="46">
        <v>0.1</v>
      </c>
      <c r="K26" s="47">
        <v>7.6399999999999996E-2</v>
      </c>
      <c r="L26" s="1">
        <f t="shared" si="1"/>
        <v>-0.4</v>
      </c>
      <c r="M26" s="8">
        <f t="shared" si="2"/>
        <v>7.5600000000000001E-2</v>
      </c>
      <c r="O26" s="1">
        <f t="shared" si="42"/>
        <v>-26.328598896557242</v>
      </c>
      <c r="P26" s="8">
        <f t="shared" si="43"/>
        <v>1.7093942762069838</v>
      </c>
      <c r="R26" s="1">
        <f t="shared" si="3"/>
        <v>-36.135235188774452</v>
      </c>
      <c r="S26" s="8">
        <f t="shared" si="4"/>
        <v>-14.072080265344313</v>
      </c>
      <c r="U26" s="1">
        <f t="shared" si="5"/>
        <v>-36.727632843004216</v>
      </c>
      <c r="V26" s="8">
        <f t="shared" si="6"/>
        <v>-7.9859924775435545</v>
      </c>
      <c r="X26" s="1">
        <f t="shared" si="7"/>
        <v>-33.299143573381677</v>
      </c>
      <c r="Y26" s="8">
        <f t="shared" si="8"/>
        <v>-3.8336096682538856</v>
      </c>
      <c r="AA26" s="1">
        <f t="shared" si="9"/>
        <v>-28.531774586632359</v>
      </c>
      <c r="AB26" s="8">
        <f t="shared" si="10"/>
        <v>-1.1945099803684667</v>
      </c>
      <c r="AD26" s="1">
        <f t="shared" si="11"/>
        <v>-23.586542378891703</v>
      </c>
      <c r="AE26" s="8">
        <f t="shared" si="12"/>
        <v>0.42515273625579314</v>
      </c>
      <c r="AG26" s="1">
        <f t="shared" si="13"/>
        <v>-22.69475123611376</v>
      </c>
      <c r="AH26" s="8">
        <f t="shared" si="14"/>
        <v>0.8609982991208962</v>
      </c>
      <c r="AJ26" s="1">
        <f t="shared" si="15"/>
        <v>-20.674229770565141</v>
      </c>
      <c r="AK26" s="8">
        <f t="shared" si="16"/>
        <v>1.5554674823801347</v>
      </c>
      <c r="AM26" s="1">
        <f t="shared" si="17"/>
        <v>-19.021420160815342</v>
      </c>
      <c r="AN26" s="8">
        <f t="shared" si="18"/>
        <v>2.0236228499559692</v>
      </c>
      <c r="AP26" s="1">
        <f t="shared" si="19"/>
        <v>-18.234648530798296</v>
      </c>
      <c r="AQ26" s="8">
        <f t="shared" si="20"/>
        <v>2.2721044243853821</v>
      </c>
      <c r="AS26" s="1">
        <f t="shared" si="21"/>
        <v>-17.005977386740387</v>
      </c>
      <c r="AT26" s="8">
        <f t="shared" si="22"/>
        <v>2.3726806743720665</v>
      </c>
      <c r="AV26" s="1">
        <f t="shared" si="23"/>
        <v>-16.770467086284711</v>
      </c>
      <c r="AW26" s="8">
        <f t="shared" si="24"/>
        <v>2.5490675493884627</v>
      </c>
      <c r="AY26" s="1">
        <f t="shared" si="25"/>
        <v>-16.74332953356836</v>
      </c>
      <c r="AZ26" s="8">
        <f t="shared" si="26"/>
        <v>2.7216222724399977</v>
      </c>
      <c r="BB26" s="1">
        <f t="shared" si="27"/>
        <v>-16.74332953356836</v>
      </c>
      <c r="BC26" s="8">
        <f t="shared" si="28"/>
        <v>2.7216222724399977</v>
      </c>
      <c r="BE26" s="1">
        <f t="shared" si="29"/>
        <v>-16.721935472786956</v>
      </c>
      <c r="BF26" s="8">
        <f t="shared" si="30"/>
        <v>2.8501202970143731</v>
      </c>
      <c r="BH26" s="1">
        <f t="shared" si="31"/>
        <v>-16.721935472786956</v>
      </c>
      <c r="BI26" s="8">
        <f t="shared" si="32"/>
        <v>2.8501202970143731</v>
      </c>
      <c r="BK26" s="1">
        <f t="shared" si="33"/>
        <v>0</v>
      </c>
      <c r="BL26" s="8">
        <f t="shared" si="34"/>
        <v>0</v>
      </c>
      <c r="BN26" s="1">
        <f t="shared" si="35"/>
        <v>0</v>
      </c>
      <c r="BO26" s="8">
        <f t="shared" si="36"/>
        <v>0</v>
      </c>
      <c r="BQ26" s="1">
        <f t="shared" si="37"/>
        <v>0</v>
      </c>
      <c r="BR26" s="8">
        <f t="shared" si="38"/>
        <v>0</v>
      </c>
      <c r="BT26" s="1">
        <f t="shared" si="39"/>
        <v>0</v>
      </c>
      <c r="BU26" s="8">
        <f t="shared" si="40"/>
        <v>0</v>
      </c>
    </row>
    <row r="27" spans="1:73" x14ac:dyDescent="0.25">
      <c r="A27">
        <v>0.40500000000000003</v>
      </c>
      <c r="B27">
        <v>4.1669999999999999E-2</v>
      </c>
      <c r="C27">
        <v>1.47</v>
      </c>
      <c r="E27" s="32">
        <v>0.10068000000000001</v>
      </c>
      <c r="F27" s="35">
        <v>0.30091000000000001</v>
      </c>
      <c r="G27" s="34">
        <f t="shared" si="0"/>
        <v>-0.39993000000000001</v>
      </c>
      <c r="H27" s="8">
        <f t="shared" si="41"/>
        <v>0.28347</v>
      </c>
      <c r="I27" s="26"/>
      <c r="J27" s="46">
        <v>7.4999999999999997E-2</v>
      </c>
      <c r="K27" s="47">
        <v>6.9000000000000006E-2</v>
      </c>
      <c r="L27" s="1">
        <f t="shared" si="1"/>
        <v>-0.42499999999999999</v>
      </c>
      <c r="M27" s="8">
        <f t="shared" si="2"/>
        <v>6.8200000000000011E-2</v>
      </c>
      <c r="O27" s="1">
        <f t="shared" si="42"/>
        <v>-26.296096313272638</v>
      </c>
      <c r="P27" s="8">
        <f t="shared" si="43"/>
        <v>-3.4764323805975814</v>
      </c>
      <c r="R27" s="1">
        <f t="shared" si="3"/>
        <v>-37.781958018974478</v>
      </c>
      <c r="S27" s="8">
        <f t="shared" si="4"/>
        <v>-15.931317747828462</v>
      </c>
      <c r="U27" s="1">
        <f t="shared" si="5"/>
        <v>-38.586225540725572</v>
      </c>
      <c r="V27" s="8">
        <f t="shared" si="6"/>
        <v>-9.5158522348549379</v>
      </c>
      <c r="X27" s="1">
        <f t="shared" si="7"/>
        <v>-35.083948288901674</v>
      </c>
      <c r="Y27" s="8">
        <f t="shared" si="8"/>
        <v>-5.0265725198605935</v>
      </c>
      <c r="AA27" s="1">
        <f t="shared" si="9"/>
        <v>-30.12222797904445</v>
      </c>
      <c r="AB27" s="8">
        <f t="shared" si="10"/>
        <v>-2.0976003751600785</v>
      </c>
      <c r="AD27" s="1">
        <f t="shared" si="11"/>
        <v>-24.942675927956259</v>
      </c>
      <c r="AE27" s="8">
        <f t="shared" si="12"/>
        <v>-0.24093549251091706</v>
      </c>
      <c r="AG27" s="1">
        <f t="shared" si="13"/>
        <v>-24.012836671768863</v>
      </c>
      <c r="AH27" s="8">
        <f t="shared" si="14"/>
        <v>0.24583964760903348</v>
      </c>
      <c r="AJ27" s="1">
        <f t="shared" si="15"/>
        <v>-21.897534139528588</v>
      </c>
      <c r="AK27" s="8">
        <f t="shared" si="16"/>
        <v>1.0390064235393472</v>
      </c>
      <c r="AM27" s="1">
        <f t="shared" si="17"/>
        <v>-20.164267927827844</v>
      </c>
      <c r="AN27" s="8">
        <f t="shared" si="18"/>
        <v>1.5822047771377707</v>
      </c>
      <c r="AP27" s="1">
        <f t="shared" si="19"/>
        <v>-19.339947399848104</v>
      </c>
      <c r="AQ27" s="8">
        <f t="shared" si="20"/>
        <v>1.8678684668392869</v>
      </c>
      <c r="AS27" s="1">
        <f t="shared" si="21"/>
        <v>-18.044224240555689</v>
      </c>
      <c r="AT27" s="8">
        <f t="shared" si="22"/>
        <v>2.0101339794945319</v>
      </c>
      <c r="AV27" s="1">
        <f t="shared" si="23"/>
        <v>-17.800459588914698</v>
      </c>
      <c r="AW27" s="8">
        <f t="shared" si="24"/>
        <v>2.203462047131906</v>
      </c>
      <c r="AY27" s="1">
        <f t="shared" si="25"/>
        <v>-17.776826217778911</v>
      </c>
      <c r="AZ27" s="8">
        <f t="shared" si="26"/>
        <v>2.3866411947806889</v>
      </c>
      <c r="BB27" s="1">
        <f t="shared" si="27"/>
        <v>-17.776826217778911</v>
      </c>
      <c r="BC27" s="8">
        <f t="shared" si="28"/>
        <v>2.3866411947806889</v>
      </c>
      <c r="BE27" s="1">
        <f t="shared" si="29"/>
        <v>-17.757974127185037</v>
      </c>
      <c r="BF27" s="8">
        <f t="shared" si="30"/>
        <v>2.5230857036499761</v>
      </c>
      <c r="BH27" s="1">
        <f t="shared" si="31"/>
        <v>-17.757974127185037</v>
      </c>
      <c r="BI27" s="8">
        <f t="shared" si="32"/>
        <v>2.5230857036499761</v>
      </c>
      <c r="BK27" s="1">
        <f t="shared" si="33"/>
        <v>0</v>
      </c>
      <c r="BL27" s="8">
        <f t="shared" si="34"/>
        <v>0</v>
      </c>
      <c r="BN27" s="1">
        <f t="shared" si="35"/>
        <v>0</v>
      </c>
      <c r="BO27" s="8">
        <f t="shared" si="36"/>
        <v>0</v>
      </c>
      <c r="BQ27" s="1">
        <f t="shared" si="37"/>
        <v>0</v>
      </c>
      <c r="BR27" s="8">
        <f t="shared" si="38"/>
        <v>0</v>
      </c>
      <c r="BT27" s="1">
        <f t="shared" si="39"/>
        <v>0</v>
      </c>
      <c r="BU27" s="8">
        <f t="shared" si="40"/>
        <v>0</v>
      </c>
    </row>
    <row r="28" spans="1:73" x14ac:dyDescent="0.25">
      <c r="A28">
        <v>0.43501499999999999</v>
      </c>
      <c r="B28">
        <v>4.1669999999999999E-2</v>
      </c>
      <c r="C28">
        <v>1.03</v>
      </c>
      <c r="E28" s="32">
        <v>5.0599999999999999E-2</v>
      </c>
      <c r="F28" s="35">
        <v>0.21919</v>
      </c>
      <c r="G28" s="34">
        <f t="shared" si="0"/>
        <v>-0.45001000000000002</v>
      </c>
      <c r="H28" s="8">
        <f t="shared" si="41"/>
        <v>0.20174999999999998</v>
      </c>
      <c r="I28" s="26"/>
      <c r="J28" s="46">
        <v>0.05</v>
      </c>
      <c r="K28" s="47">
        <v>5.8900000000000001E-2</v>
      </c>
      <c r="L28" s="1">
        <f t="shared" si="1"/>
        <v>-0.45</v>
      </c>
      <c r="M28" s="8">
        <f t="shared" si="2"/>
        <v>5.8099999999999999E-2</v>
      </c>
      <c r="O28" s="1">
        <f t="shared" si="42"/>
        <v>-25.274652956874569</v>
      </c>
      <c r="P28" s="8">
        <f t="shared" si="43"/>
        <v>-8.5609926188963019</v>
      </c>
      <c r="R28" s="1">
        <f t="shared" si="3"/>
        <v>-39.292460701004146</v>
      </c>
      <c r="S28" s="8">
        <f t="shared" si="4"/>
        <v>-18.008722459832647</v>
      </c>
      <c r="U28" s="1">
        <f t="shared" si="5"/>
        <v>-40.347532650124506</v>
      </c>
      <c r="V28" s="8">
        <f t="shared" si="6"/>
        <v>-11.275236537663666</v>
      </c>
      <c r="X28" s="1">
        <f t="shared" si="7"/>
        <v>-36.802752365567706</v>
      </c>
      <c r="Y28" s="8">
        <f t="shared" si="8"/>
        <v>-6.4318304698442308</v>
      </c>
      <c r="AA28" s="1">
        <f t="shared" si="9"/>
        <v>-31.669752480571468</v>
      </c>
      <c r="AB28" s="8">
        <f t="shared" si="10"/>
        <v>-3.1851666880341809</v>
      </c>
      <c r="AD28" s="1">
        <f t="shared" si="11"/>
        <v>-26.272527543498036</v>
      </c>
      <c r="AE28" s="8">
        <f t="shared" si="12"/>
        <v>-1.0612655968993421</v>
      </c>
      <c r="AG28" s="1">
        <f t="shared" si="13"/>
        <v>-25.30857913053115</v>
      </c>
      <c r="AH28" s="8">
        <f t="shared" si="14"/>
        <v>-0.51828575211385575</v>
      </c>
      <c r="AJ28" s="1">
        <f t="shared" si="15"/>
        <v>-23.105510304155409</v>
      </c>
      <c r="AK28" s="8">
        <f t="shared" si="16"/>
        <v>0.38589134436686634</v>
      </c>
      <c r="AM28" s="1">
        <f t="shared" si="17"/>
        <v>-21.296874401545182</v>
      </c>
      <c r="AN28" s="8">
        <f t="shared" si="18"/>
        <v>1.014327722666853</v>
      </c>
      <c r="AP28" s="1">
        <f t="shared" si="19"/>
        <v>-20.437593485958722</v>
      </c>
      <c r="AQ28" s="8">
        <f t="shared" si="20"/>
        <v>1.3419950076858089</v>
      </c>
      <c r="AS28" s="1">
        <f t="shared" si="21"/>
        <v>-19.076987203343268</v>
      </c>
      <c r="AT28" s="8">
        <f t="shared" si="22"/>
        <v>1.5338333926607377</v>
      </c>
      <c r="AV28" s="1">
        <f t="shared" si="23"/>
        <v>-18.826407838867613</v>
      </c>
      <c r="AW28" s="8">
        <f t="shared" si="24"/>
        <v>1.7454202557988954</v>
      </c>
      <c r="AY28" s="1">
        <f t="shared" si="25"/>
        <v>-18.807436649501124</v>
      </c>
      <c r="AZ28" s="8">
        <f t="shared" si="26"/>
        <v>1.93918814449009</v>
      </c>
      <c r="BB28" s="1">
        <f t="shared" si="27"/>
        <v>-18.807436649501124</v>
      </c>
      <c r="BC28" s="8">
        <f t="shared" si="28"/>
        <v>1.93918814449009</v>
      </c>
      <c r="BE28" s="1">
        <f t="shared" si="29"/>
        <v>-18.791990328456684</v>
      </c>
      <c r="BF28" s="8">
        <f t="shared" si="30"/>
        <v>2.0835602894851615</v>
      </c>
      <c r="BH28" s="1">
        <f t="shared" si="31"/>
        <v>-18.791990328456684</v>
      </c>
      <c r="BI28" s="8">
        <f t="shared" si="32"/>
        <v>2.0835602894851615</v>
      </c>
      <c r="BK28" s="1">
        <f t="shared" si="33"/>
        <v>0</v>
      </c>
      <c r="BL28" s="8">
        <f t="shared" si="34"/>
        <v>0</v>
      </c>
      <c r="BN28" s="1">
        <f t="shared" si="35"/>
        <v>0</v>
      </c>
      <c r="BO28" s="8">
        <f t="shared" si="36"/>
        <v>0</v>
      </c>
      <c r="BQ28" s="1">
        <f t="shared" si="37"/>
        <v>0</v>
      </c>
      <c r="BR28" s="8">
        <f t="shared" si="38"/>
        <v>0</v>
      </c>
      <c r="BT28" s="1">
        <f t="shared" si="39"/>
        <v>0</v>
      </c>
      <c r="BU28" s="8">
        <f t="shared" si="40"/>
        <v>0</v>
      </c>
    </row>
    <row r="29" spans="1:73" x14ac:dyDescent="0.25">
      <c r="A29">
        <v>0.45</v>
      </c>
      <c r="B29">
        <v>4.1669999999999999E-2</v>
      </c>
      <c r="C29">
        <v>1.03</v>
      </c>
      <c r="E29" s="32">
        <v>1.704E-2</v>
      </c>
      <c r="F29" s="35">
        <v>0.12941</v>
      </c>
      <c r="G29" s="34">
        <f t="shared" si="0"/>
        <v>-0.48357</v>
      </c>
      <c r="H29" s="8">
        <f t="shared" si="41"/>
        <v>0.11197</v>
      </c>
      <c r="I29" s="26"/>
      <c r="J29" s="46">
        <v>2.5000000000000001E-2</v>
      </c>
      <c r="K29" s="47">
        <v>4.4400000000000002E-2</v>
      </c>
      <c r="L29" s="1">
        <f t="shared" si="1"/>
        <v>-0.47499999999999998</v>
      </c>
      <c r="M29" s="8">
        <f t="shared" si="2"/>
        <v>4.36E-2</v>
      </c>
      <c r="O29" s="1">
        <f t="shared" si="42"/>
        <v>-23.301309539020387</v>
      </c>
      <c r="P29" s="8">
        <f t="shared" si="43"/>
        <v>-13.357204303539483</v>
      </c>
      <c r="R29" s="1">
        <f t="shared" si="3"/>
        <v>-40.580974993422863</v>
      </c>
      <c r="S29" s="8">
        <f t="shared" si="4"/>
        <v>-20.441658953276878</v>
      </c>
      <c r="U29" s="1">
        <f t="shared" si="5"/>
        <v>-41.950300282257281</v>
      </c>
      <c r="V29" s="8">
        <f t="shared" si="6"/>
        <v>-13.408660840542133</v>
      </c>
      <c r="X29" s="1">
        <f t="shared" si="7"/>
        <v>-38.41399984558285</v>
      </c>
      <c r="Y29" s="8">
        <f t="shared" si="8"/>
        <v>-8.1830508023680455</v>
      </c>
      <c r="AA29" s="1">
        <f t="shared" si="9"/>
        <v>-33.147318789545018</v>
      </c>
      <c r="AB29" s="8">
        <f t="shared" si="10"/>
        <v>-4.5733604229686344</v>
      </c>
      <c r="AD29" s="1">
        <f t="shared" si="11"/>
        <v>-27.559549341447138</v>
      </c>
      <c r="AE29" s="8">
        <f t="shared" si="12"/>
        <v>-2.1329528319305595</v>
      </c>
      <c r="AG29" s="1">
        <f t="shared" si="13"/>
        <v>-26.567910812134766</v>
      </c>
      <c r="AH29" s="8">
        <f t="shared" si="14"/>
        <v>-1.5251717785510071</v>
      </c>
      <c r="AJ29" s="1">
        <f t="shared" si="15"/>
        <v>-24.288507172826247</v>
      </c>
      <c r="AK29" s="8">
        <f t="shared" si="16"/>
        <v>-0.48991917534615026</v>
      </c>
      <c r="AM29" s="1">
        <f t="shared" si="17"/>
        <v>-22.412791360263007</v>
      </c>
      <c r="AN29" s="8">
        <f t="shared" si="18"/>
        <v>0.24036936476187687</v>
      </c>
      <c r="AP29" s="1">
        <f t="shared" si="19"/>
        <v>-21.522768370242506</v>
      </c>
      <c r="AQ29" s="8">
        <f t="shared" si="20"/>
        <v>0.61789747183882227</v>
      </c>
      <c r="AS29" s="1">
        <f t="shared" si="21"/>
        <v>-20.100813454826419</v>
      </c>
      <c r="AT29" s="8">
        <f t="shared" si="22"/>
        <v>0.8721560930093385</v>
      </c>
      <c r="AV29" s="1">
        <f t="shared" si="23"/>
        <v>-19.84576545482825</v>
      </c>
      <c r="AW29" s="8">
        <f t="shared" si="24"/>
        <v>1.1041489563412927</v>
      </c>
      <c r="AY29" s="1">
        <f t="shared" si="25"/>
        <v>-19.833343558649734</v>
      </c>
      <c r="AZ29" s="8">
        <f t="shared" si="26"/>
        <v>1.3084474350966488</v>
      </c>
      <c r="BB29" s="1">
        <f t="shared" si="27"/>
        <v>-19.833343558649734</v>
      </c>
      <c r="BC29" s="8">
        <f t="shared" si="28"/>
        <v>1.3084474350966488</v>
      </c>
      <c r="BE29" s="1">
        <f t="shared" si="29"/>
        <v>-19.822710680188958</v>
      </c>
      <c r="BF29" s="8">
        <f t="shared" si="30"/>
        <v>1.4607165006826321</v>
      </c>
      <c r="BH29" s="1">
        <f t="shared" si="31"/>
        <v>-19.822710680188958</v>
      </c>
      <c r="BI29" s="8">
        <f t="shared" si="32"/>
        <v>1.4607165006826321</v>
      </c>
      <c r="BK29" s="1">
        <f t="shared" si="33"/>
        <v>0</v>
      </c>
      <c r="BL29" s="8">
        <f t="shared" si="34"/>
        <v>0</v>
      </c>
      <c r="BN29" s="1">
        <f t="shared" si="35"/>
        <v>0</v>
      </c>
      <c r="BO29" s="8">
        <f t="shared" si="36"/>
        <v>0</v>
      </c>
      <c r="BQ29" s="1">
        <f t="shared" si="37"/>
        <v>0</v>
      </c>
      <c r="BR29" s="8">
        <f t="shared" si="38"/>
        <v>0</v>
      </c>
      <c r="BT29" s="1">
        <f t="shared" si="39"/>
        <v>0</v>
      </c>
      <c r="BU29" s="8">
        <f t="shared" si="40"/>
        <v>0</v>
      </c>
    </row>
    <row r="30" spans="1:73" x14ac:dyDescent="0.25">
      <c r="E30" s="32">
        <v>1.2199999999999999E-3</v>
      </c>
      <c r="F30" s="35">
        <v>3.4880000000000001E-2</v>
      </c>
      <c r="G30" s="34">
        <f t="shared" si="0"/>
        <v>-0.49939</v>
      </c>
      <c r="H30" s="8">
        <f t="shared" si="41"/>
        <v>1.7440000000000001E-2</v>
      </c>
      <c r="I30" s="26"/>
      <c r="J30" s="46">
        <v>1.2500000000000001E-2</v>
      </c>
      <c r="K30" s="47">
        <v>3.3399999999999999E-2</v>
      </c>
      <c r="L30" s="1">
        <f t="shared" si="1"/>
        <v>-0.48749999999999999</v>
      </c>
      <c r="M30" s="8">
        <f t="shared" si="2"/>
        <v>3.2599999999999997E-2</v>
      </c>
      <c r="O30" s="1">
        <f t="shared" si="42"/>
        <v>-20.449504738954143</v>
      </c>
      <c r="P30" s="8">
        <f t="shared" si="43"/>
        <v>-17.688877441538473</v>
      </c>
      <c r="R30" s="1">
        <f t="shared" si="3"/>
        <v>-41.036037489395603</v>
      </c>
      <c r="S30" s="8">
        <f t="shared" si="4"/>
        <v>-21.96113724099903</v>
      </c>
      <c r="U30" s="1">
        <f t="shared" si="5"/>
        <v>-42.616565225653652</v>
      </c>
      <c r="V30" s="8">
        <f t="shared" si="6"/>
        <v>-14.7941570829499</v>
      </c>
      <c r="X30" s="1">
        <f t="shared" si="7"/>
        <v>-39.127956031626603</v>
      </c>
      <c r="Y30" s="8">
        <f t="shared" si="8"/>
        <v>-9.3535152719312471</v>
      </c>
      <c r="AA30" s="1">
        <f t="shared" si="9"/>
        <v>-33.826478484469192</v>
      </c>
      <c r="AB30" s="8">
        <f t="shared" si="10"/>
        <v>-5.5236738433282078</v>
      </c>
      <c r="AD30" s="1">
        <f t="shared" si="11"/>
        <v>-28.166557554973387</v>
      </c>
      <c r="AE30" s="8">
        <f t="shared" si="12"/>
        <v>-2.8830212766985497</v>
      </c>
      <c r="AG30" s="1">
        <f t="shared" si="13"/>
        <v>-27.16654474058544</v>
      </c>
      <c r="AH30" s="8">
        <f t="shared" si="14"/>
        <v>-2.235513053173785</v>
      </c>
      <c r="AJ30" s="1">
        <f t="shared" si="15"/>
        <v>-24.858716434471912</v>
      </c>
      <c r="AK30" s="8">
        <f t="shared" si="16"/>
        <v>-1.1176216856633434</v>
      </c>
      <c r="AM30" s="1">
        <f t="shared" si="17"/>
        <v>-22.956525821156415</v>
      </c>
      <c r="AN30" s="8">
        <f t="shared" si="18"/>
        <v>-0.32224728870827524</v>
      </c>
      <c r="AP30" s="1">
        <f t="shared" si="19"/>
        <v>-22.054726947191071</v>
      </c>
      <c r="AQ30" s="8">
        <f t="shared" si="20"/>
        <v>8.690772946063316E-2</v>
      </c>
      <c r="AS30" s="1">
        <f t="shared" si="21"/>
        <v>-20.605110065251711</v>
      </c>
      <c r="AT30" s="8">
        <f t="shared" si="22"/>
        <v>0.3833259265777243</v>
      </c>
      <c r="AV30" s="1">
        <f t="shared" si="23"/>
        <v>-20.349827245201521</v>
      </c>
      <c r="AW30" s="8">
        <f t="shared" si="24"/>
        <v>0.62735179400630503</v>
      </c>
      <c r="AY30" s="1">
        <f t="shared" si="25"/>
        <v>-20.342288329212451</v>
      </c>
      <c r="AZ30" s="8">
        <f t="shared" si="26"/>
        <v>0.83686600730091543</v>
      </c>
      <c r="BB30" s="1">
        <f t="shared" si="27"/>
        <v>-20.342288329212451</v>
      </c>
      <c r="BC30" s="8">
        <f t="shared" si="28"/>
        <v>0.83686600730091543</v>
      </c>
      <c r="BE30" s="1">
        <f t="shared" si="29"/>
        <v>-20.335261893379499</v>
      </c>
      <c r="BF30" s="8">
        <f t="shared" si="30"/>
        <v>0.99305735516967808</v>
      </c>
      <c r="BH30" s="1">
        <f t="shared" si="31"/>
        <v>-20.335261893379499</v>
      </c>
      <c r="BI30" s="8">
        <f t="shared" si="32"/>
        <v>0.99305735516967808</v>
      </c>
      <c r="BK30" s="1">
        <f t="shared" si="33"/>
        <v>0</v>
      </c>
      <c r="BL30" s="8">
        <f t="shared" si="34"/>
        <v>0</v>
      </c>
      <c r="BN30" s="1">
        <f t="shared" si="35"/>
        <v>0</v>
      </c>
      <c r="BO30" s="8">
        <f t="shared" si="36"/>
        <v>0</v>
      </c>
      <c r="BQ30" s="1">
        <f t="shared" si="37"/>
        <v>0</v>
      </c>
      <c r="BR30" s="8">
        <f t="shared" si="38"/>
        <v>0</v>
      </c>
      <c r="BT30" s="1">
        <f t="shared" si="39"/>
        <v>0</v>
      </c>
      <c r="BU30" s="8">
        <f t="shared" si="40"/>
        <v>0</v>
      </c>
    </row>
    <row r="31" spans="1:73" x14ac:dyDescent="0.25">
      <c r="E31" s="32">
        <v>3.7299999999999998E-3</v>
      </c>
      <c r="F31" s="35">
        <v>-6.0929999999999998E-2</v>
      </c>
      <c r="G31" s="34">
        <f t="shared" si="0"/>
        <v>-0.49687999999999999</v>
      </c>
      <c r="H31" s="8">
        <f t="shared" si="41"/>
        <v>-7.8369999999999995E-2</v>
      </c>
      <c r="I31" s="26"/>
      <c r="J31" s="46">
        <v>0</v>
      </c>
      <c r="K31" s="47">
        <v>0</v>
      </c>
      <c r="L31" s="1">
        <f t="shared" si="1"/>
        <v>-0.5</v>
      </c>
      <c r="M31" s="8">
        <f t="shared" si="2"/>
        <v>-8.0000000000000004E-4</v>
      </c>
      <c r="O31" s="1">
        <f t="shared" si="42"/>
        <v>-16.823554284790593</v>
      </c>
      <c r="P31" s="8">
        <f t="shared" si="43"/>
        <v>-21.39666372228163</v>
      </c>
      <c r="R31" s="1">
        <f t="shared" si="3"/>
        <v>-40.360977274621668</v>
      </c>
      <c r="S31" s="8">
        <f t="shared" si="4"/>
        <v>-25.290595506961431</v>
      </c>
      <c r="U31" s="1">
        <f t="shared" si="5"/>
        <v>-42.475720102967749</v>
      </c>
      <c r="V31" s="8">
        <f t="shared" si="6"/>
        <v>-18.08385696207635</v>
      </c>
      <c r="X31" s="1">
        <f t="shared" si="7"/>
        <v>-39.294351361993115</v>
      </c>
      <c r="Y31" s="8">
        <f t="shared" si="8"/>
        <v>-12.28524277988082</v>
      </c>
      <c r="AA31" s="1">
        <f t="shared" si="9"/>
        <v>-34.149487380939384</v>
      </c>
      <c r="AB31" s="8">
        <f t="shared" si="10"/>
        <v>-8.0044541396313917</v>
      </c>
      <c r="AD31" s="1">
        <f t="shared" si="11"/>
        <v>-28.555523060755114</v>
      </c>
      <c r="AE31" s="8">
        <f t="shared" si="12"/>
        <v>-4.9127260229207588</v>
      </c>
      <c r="AG31" s="1">
        <f t="shared" si="13"/>
        <v>-27.579814712592</v>
      </c>
      <c r="AH31" s="8">
        <f t="shared" si="14"/>
        <v>-4.1817266092509957</v>
      </c>
      <c r="AJ31" s="1">
        <f t="shared" si="15"/>
        <v>-25.301758371250774</v>
      </c>
      <c r="AK31" s="8">
        <f t="shared" si="16"/>
        <v>-2.8790464387323578</v>
      </c>
      <c r="AM31" s="1">
        <f t="shared" si="17"/>
        <v>-23.415295478415899</v>
      </c>
      <c r="AN31" s="8">
        <f t="shared" si="18"/>
        <v>-1.9340051232972737</v>
      </c>
      <c r="AP31" s="1">
        <f t="shared" si="19"/>
        <v>-22.523195769384849</v>
      </c>
      <c r="AQ31" s="8">
        <f t="shared" si="20"/>
        <v>-1.4532227669936046</v>
      </c>
      <c r="AS31" s="1">
        <f t="shared" si="21"/>
        <v>-21.063910690854428</v>
      </c>
      <c r="AT31" s="8">
        <f t="shared" si="22"/>
        <v>-1.0492402323798842</v>
      </c>
      <c r="AV31" s="1">
        <f t="shared" si="23"/>
        <v>-20.82033671706866</v>
      </c>
      <c r="AW31" s="8">
        <f t="shared" si="24"/>
        <v>-0.78225013696296819</v>
      </c>
      <c r="AY31" s="1">
        <f t="shared" si="25"/>
        <v>-20.827287893945947</v>
      </c>
      <c r="AZ31" s="8">
        <f t="shared" si="26"/>
        <v>-0.5678162304729234</v>
      </c>
      <c r="BB31" s="1">
        <f t="shared" si="27"/>
        <v>-20.827287893945947</v>
      </c>
      <c r="BC31" s="8">
        <f t="shared" si="28"/>
        <v>-0.5678162304729234</v>
      </c>
      <c r="BE31" s="1">
        <f t="shared" si="29"/>
        <v>-20.83103423618779</v>
      </c>
      <c r="BF31" s="8">
        <f t="shared" si="30"/>
        <v>-0.40785897031710044</v>
      </c>
      <c r="BH31" s="1">
        <f t="shared" si="31"/>
        <v>-20.83103423618779</v>
      </c>
      <c r="BI31" s="8">
        <f t="shared" si="32"/>
        <v>-0.40785897031710044</v>
      </c>
      <c r="BK31" s="1">
        <f t="shared" si="33"/>
        <v>0</v>
      </c>
      <c r="BL31" s="8">
        <f t="shared" si="34"/>
        <v>0</v>
      </c>
      <c r="BN31" s="1">
        <f t="shared" si="35"/>
        <v>0</v>
      </c>
      <c r="BO31" s="8">
        <f t="shared" si="36"/>
        <v>0</v>
      </c>
      <c r="BQ31" s="1">
        <f t="shared" si="37"/>
        <v>0</v>
      </c>
      <c r="BR31" s="8">
        <f t="shared" si="38"/>
        <v>0</v>
      </c>
      <c r="BT31" s="1">
        <f t="shared" si="39"/>
        <v>0</v>
      </c>
      <c r="BU31" s="8">
        <f t="shared" si="40"/>
        <v>0</v>
      </c>
    </row>
    <row r="32" spans="1:73" x14ac:dyDescent="0.25">
      <c r="E32" s="32">
        <v>2.4469999999999999E-2</v>
      </c>
      <c r="F32" s="35">
        <v>-0.15451000000000001</v>
      </c>
      <c r="G32" s="34">
        <f t="shared" si="0"/>
        <v>-0.47614000000000001</v>
      </c>
      <c r="H32" s="8">
        <f t="shared" si="41"/>
        <v>-0.17195000000000002</v>
      </c>
      <c r="I32" s="26"/>
      <c r="J32" s="46">
        <v>1.2500000000000001E-2</v>
      </c>
      <c r="K32" s="47">
        <v>-1.54E-2</v>
      </c>
      <c r="L32" s="1">
        <f t="shared" si="1"/>
        <v>-0.48749999999999999</v>
      </c>
      <c r="M32" s="8">
        <f t="shared" si="2"/>
        <v>-1.6199999999999999E-2</v>
      </c>
      <c r="O32" s="1">
        <f t="shared" si="42"/>
        <v>-12.556614034628712</v>
      </c>
      <c r="P32" s="8">
        <f t="shared" si="43"/>
        <v>-24.345024517193416</v>
      </c>
      <c r="R32" s="1">
        <f t="shared" si="3"/>
        <v>-38.573984440983182</v>
      </c>
      <c r="S32" s="8">
        <f t="shared" si="4"/>
        <v>-25.904307907879563</v>
      </c>
      <c r="U32" s="1">
        <f t="shared" si="5"/>
        <v>-40.858218295974417</v>
      </c>
      <c r="V32" s="8">
        <f t="shared" si="6"/>
        <v>-18.942600720087039</v>
      </c>
      <c r="X32" s="1">
        <f t="shared" si="7"/>
        <v>-37.935055596044045</v>
      </c>
      <c r="Y32" s="8">
        <f t="shared" si="8"/>
        <v>-13.190552605558707</v>
      </c>
      <c r="AA32" s="1">
        <f t="shared" si="9"/>
        <v>-33.050578530694452</v>
      </c>
      <c r="AB32" s="8">
        <f t="shared" si="10"/>
        <v>-8.8579052516339303</v>
      </c>
      <c r="AD32" s="1">
        <f t="shared" si="11"/>
        <v>-27.691535941672818</v>
      </c>
      <c r="AE32" s="8">
        <f t="shared" si="12"/>
        <v>-5.6708003620095297</v>
      </c>
      <c r="AG32" s="1">
        <f t="shared" si="13"/>
        <v>-26.762716121189328</v>
      </c>
      <c r="AH32" s="8">
        <f t="shared" si="14"/>
        <v>-4.9279490949137976</v>
      </c>
      <c r="AJ32" s="1">
        <f t="shared" si="15"/>
        <v>-24.581673333869229</v>
      </c>
      <c r="AK32" s="8">
        <f t="shared" si="16"/>
        <v>-3.5875165716583828</v>
      </c>
      <c r="AM32" s="1">
        <f t="shared" si="17"/>
        <v>-22.771423927525362</v>
      </c>
      <c r="AN32" s="8">
        <f t="shared" si="18"/>
        <v>-2.6078762904314758</v>
      </c>
      <c r="AP32" s="1">
        <f t="shared" si="19"/>
        <v>-21.916409981475272</v>
      </c>
      <c r="AQ32" s="8">
        <f t="shared" si="20"/>
        <v>-2.1115774847764728</v>
      </c>
      <c r="AS32" s="1">
        <f t="shared" si="21"/>
        <v>-20.505993812602522</v>
      </c>
      <c r="AT32" s="8">
        <f t="shared" si="22"/>
        <v>-1.6726703428539065</v>
      </c>
      <c r="AV32" s="1">
        <f t="shared" si="23"/>
        <v>-20.276731122741744</v>
      </c>
      <c r="AW32" s="8">
        <f t="shared" si="24"/>
        <v>-1.4048300233755318</v>
      </c>
      <c r="AY32" s="1">
        <f t="shared" si="25"/>
        <v>-20.290121987941646</v>
      </c>
      <c r="AZ32" s="8">
        <f t="shared" si="26"/>
        <v>-1.1959607572942423</v>
      </c>
      <c r="BB32" s="1">
        <f t="shared" si="27"/>
        <v>-20.290121987941646</v>
      </c>
      <c r="BC32" s="8">
        <f t="shared" si="28"/>
        <v>-1.1959607572942423</v>
      </c>
      <c r="BE32" s="1">
        <f t="shared" si="29"/>
        <v>-20.298707925761029</v>
      </c>
      <c r="BF32" s="8">
        <f t="shared" si="30"/>
        <v>-1.0401100726304395</v>
      </c>
      <c r="BH32" s="1">
        <f t="shared" si="31"/>
        <v>-20.298707925761029</v>
      </c>
      <c r="BI32" s="8">
        <f t="shared" si="32"/>
        <v>-1.0401100726304395</v>
      </c>
      <c r="BK32" s="1">
        <f t="shared" si="33"/>
        <v>0</v>
      </c>
      <c r="BL32" s="8">
        <f t="shared" si="34"/>
        <v>0</v>
      </c>
      <c r="BN32" s="1">
        <f t="shared" si="35"/>
        <v>0</v>
      </c>
      <c r="BO32" s="8">
        <f t="shared" si="36"/>
        <v>0</v>
      </c>
      <c r="BQ32" s="1">
        <f t="shared" si="37"/>
        <v>0</v>
      </c>
      <c r="BR32" s="8">
        <f t="shared" si="38"/>
        <v>0</v>
      </c>
      <c r="BT32" s="1">
        <f t="shared" si="39"/>
        <v>0</v>
      </c>
      <c r="BU32" s="8">
        <f t="shared" si="40"/>
        <v>0</v>
      </c>
    </row>
    <row r="33" spans="5:73" x14ac:dyDescent="0.25">
      <c r="E33" s="32">
        <v>6.2689999999999996E-2</v>
      </c>
      <c r="F33" s="35">
        <v>-0.2424</v>
      </c>
      <c r="G33" s="34">
        <f t="shared" si="0"/>
        <v>-0.43791999999999998</v>
      </c>
      <c r="H33" s="8">
        <f t="shared" si="41"/>
        <v>-0.25984000000000002</v>
      </c>
      <c r="I33" s="26"/>
      <c r="J33" s="46">
        <v>2.5000000000000001E-2</v>
      </c>
      <c r="K33" s="47">
        <v>-2.2499999999999999E-2</v>
      </c>
      <c r="L33" s="1">
        <f t="shared" si="1"/>
        <v>-0.47499999999999998</v>
      </c>
      <c r="M33" s="8">
        <f t="shared" si="2"/>
        <v>-2.3299999999999998E-2</v>
      </c>
      <c r="O33" s="1">
        <f t="shared" si="42"/>
        <v>-7.8057808812645328</v>
      </c>
      <c r="P33" s="8">
        <f t="shared" si="43"/>
        <v>-26.42432835887308</v>
      </c>
      <c r="R33" s="1">
        <f t="shared" si="3"/>
        <v>-37.205742433201728</v>
      </c>
      <c r="S33" s="8">
        <f t="shared" si="4"/>
        <v>-25.847358084717609</v>
      </c>
      <c r="U33" s="1">
        <f t="shared" si="5"/>
        <v>-39.539779593824072</v>
      </c>
      <c r="V33" s="8">
        <f t="shared" si="6"/>
        <v>-19.095769023420711</v>
      </c>
      <c r="X33" s="1">
        <f t="shared" si="7"/>
        <v>-36.778650682868232</v>
      </c>
      <c r="Y33" s="8">
        <f t="shared" si="8"/>
        <v>-13.443251573263069</v>
      </c>
      <c r="AA33" s="1">
        <f t="shared" si="9"/>
        <v>-32.083636270948098</v>
      </c>
      <c r="AB33" s="8">
        <f t="shared" si="10"/>
        <v>-9.1442637265680773</v>
      </c>
      <c r="AD33" s="1">
        <f t="shared" si="11"/>
        <v>-26.908341433049433</v>
      </c>
      <c r="AE33" s="8">
        <f t="shared" si="12"/>
        <v>-5.9547237501130299</v>
      </c>
      <c r="AG33" s="1">
        <f t="shared" si="13"/>
        <v>-26.014301495790505</v>
      </c>
      <c r="AH33" s="8">
        <f t="shared" si="14"/>
        <v>-5.2162367620019676</v>
      </c>
      <c r="AJ33" s="1">
        <f t="shared" si="15"/>
        <v>-23.908708332041009</v>
      </c>
      <c r="AK33" s="8">
        <f t="shared" si="16"/>
        <v>-3.8759021235647602</v>
      </c>
      <c r="AM33" s="1">
        <f t="shared" si="17"/>
        <v>-22.159034870838465</v>
      </c>
      <c r="AN33" s="8">
        <f t="shared" si="18"/>
        <v>-2.8930031806332495</v>
      </c>
      <c r="AP33" s="1">
        <f t="shared" si="19"/>
        <v>-21.333149415193596</v>
      </c>
      <c r="AQ33" s="8">
        <f t="shared" si="20"/>
        <v>-2.3960095124329484</v>
      </c>
      <c r="AS33" s="1">
        <f t="shared" si="21"/>
        <v>-19.964934821583988</v>
      </c>
      <c r="AT33" s="8">
        <f t="shared" si="22"/>
        <v>-1.9464125632401716</v>
      </c>
      <c r="AV33" s="1">
        <f t="shared" si="23"/>
        <v>-19.745557860718435</v>
      </c>
      <c r="AW33" s="8">
        <f t="shared" si="24"/>
        <v>-1.6817724285530695</v>
      </c>
      <c r="AY33" s="1">
        <f t="shared" si="25"/>
        <v>-19.761828635882996</v>
      </c>
      <c r="AZ33" s="8">
        <f t="shared" si="26"/>
        <v>-1.4783581089897455</v>
      </c>
      <c r="BB33" s="1">
        <f t="shared" si="27"/>
        <v>-19.761828635882996</v>
      </c>
      <c r="BC33" s="8">
        <f t="shared" si="28"/>
        <v>-1.4783581089897455</v>
      </c>
      <c r="BE33" s="1">
        <f t="shared" si="29"/>
        <v>-19.77259878605626</v>
      </c>
      <c r="BF33" s="8">
        <f t="shared" si="30"/>
        <v>-1.3265560591499066</v>
      </c>
      <c r="BH33" s="1">
        <f t="shared" si="31"/>
        <v>-19.77259878605626</v>
      </c>
      <c r="BI33" s="8">
        <f t="shared" si="32"/>
        <v>-1.3265560591499066</v>
      </c>
      <c r="BK33" s="1">
        <f t="shared" si="33"/>
        <v>0</v>
      </c>
      <c r="BL33" s="8">
        <f t="shared" si="34"/>
        <v>0</v>
      </c>
      <c r="BN33" s="1">
        <f t="shared" si="35"/>
        <v>0</v>
      </c>
      <c r="BO33" s="8">
        <f t="shared" si="36"/>
        <v>0</v>
      </c>
      <c r="BQ33" s="1">
        <f t="shared" si="37"/>
        <v>0</v>
      </c>
      <c r="BR33" s="8">
        <f t="shared" si="38"/>
        <v>0</v>
      </c>
      <c r="BT33" s="1">
        <f t="shared" si="39"/>
        <v>0</v>
      </c>
      <c r="BU33" s="8">
        <f t="shared" si="40"/>
        <v>0</v>
      </c>
    </row>
    <row r="34" spans="5:73" x14ac:dyDescent="0.25">
      <c r="E34" s="32">
        <v>0.11698</v>
      </c>
      <c r="F34" s="35">
        <v>-0.32139000000000001</v>
      </c>
      <c r="G34" s="34">
        <f t="shared" si="0"/>
        <v>-0.38363000000000003</v>
      </c>
      <c r="H34" s="8">
        <f t="shared" si="41"/>
        <v>-0.33883000000000002</v>
      </c>
      <c r="I34" s="26"/>
      <c r="J34" s="46">
        <v>0.05</v>
      </c>
      <c r="K34" s="47">
        <v>-3.04E-2</v>
      </c>
      <c r="L34" s="1">
        <f t="shared" si="1"/>
        <v>-0.45</v>
      </c>
      <c r="M34" s="8">
        <f t="shared" si="2"/>
        <v>-3.1199999999999999E-2</v>
      </c>
      <c r="O34" s="1">
        <f t="shared" si="42"/>
        <v>-2.7451281632508162</v>
      </c>
      <c r="P34" s="8">
        <f t="shared" si="43"/>
        <v>-27.559151722630276</v>
      </c>
      <c r="R34" s="1">
        <f t="shared" si="3"/>
        <v>-34.787105430036327</v>
      </c>
      <c r="S34" s="8">
        <f t="shared" si="4"/>
        <v>-25.224401569513624</v>
      </c>
      <c r="U34" s="1">
        <f t="shared" si="5"/>
        <v>-37.129901895609024</v>
      </c>
      <c r="V34" s="8">
        <f t="shared" si="6"/>
        <v>-18.866548357260928</v>
      </c>
      <c r="X34" s="1">
        <f t="shared" si="7"/>
        <v>-34.61984234717584</v>
      </c>
      <c r="Y34" s="8">
        <f t="shared" si="8"/>
        <v>-13.453294279125629</v>
      </c>
      <c r="AA34" s="1">
        <f t="shared" si="9"/>
        <v>-30.24991916352057</v>
      </c>
      <c r="AB34" s="8">
        <f t="shared" si="10"/>
        <v>-9.2865368675772348</v>
      </c>
      <c r="AD34" s="1">
        <f t="shared" si="11"/>
        <v>-25.403276927355808</v>
      </c>
      <c r="AE34" s="8">
        <f t="shared" si="12"/>
        <v>-6.1626728165360332</v>
      </c>
      <c r="AG34" s="1">
        <f t="shared" si="13"/>
        <v>-24.569605857742772</v>
      </c>
      <c r="AH34" s="8">
        <f t="shared" si="14"/>
        <v>-5.4452230170192477</v>
      </c>
      <c r="AJ34" s="1">
        <f t="shared" si="15"/>
        <v>-22.598544138503364</v>
      </c>
      <c r="AK34" s="8">
        <f t="shared" si="16"/>
        <v>-4.1338138466035641</v>
      </c>
      <c r="AM34" s="1">
        <f t="shared" si="17"/>
        <v>-20.958153108486712</v>
      </c>
      <c r="AN34" s="8">
        <f t="shared" si="18"/>
        <v>-3.1681860038471199</v>
      </c>
      <c r="AP34" s="1">
        <f t="shared" si="19"/>
        <v>-20.184484776155017</v>
      </c>
      <c r="AQ34" s="8">
        <f t="shared" si="20"/>
        <v>-2.6810527306620102</v>
      </c>
      <c r="AS34" s="1">
        <f t="shared" si="21"/>
        <v>-18.895612585278265</v>
      </c>
      <c r="AT34" s="8">
        <f t="shared" si="22"/>
        <v>-2.2284712561147666</v>
      </c>
      <c r="AV34" s="1">
        <f t="shared" si="23"/>
        <v>-18.692647926251677</v>
      </c>
      <c r="AW34" s="8">
        <f t="shared" si="24"/>
        <v>-1.9733058977297528</v>
      </c>
      <c r="AY34" s="1">
        <f t="shared" si="25"/>
        <v>-18.711976520905161</v>
      </c>
      <c r="AZ34" s="8">
        <f t="shared" si="26"/>
        <v>-1.7807182095744101</v>
      </c>
      <c r="BB34" s="1">
        <f t="shared" si="27"/>
        <v>-18.711976520905161</v>
      </c>
      <c r="BC34" s="8">
        <f t="shared" si="28"/>
        <v>-1.7807182095744101</v>
      </c>
      <c r="BE34" s="1">
        <f t="shared" si="29"/>
        <v>-18.725099563941736</v>
      </c>
      <c r="BF34" s="8">
        <f t="shared" si="30"/>
        <v>-1.6369694503212016</v>
      </c>
      <c r="BH34" s="1">
        <f t="shared" si="31"/>
        <v>-18.725099563941736</v>
      </c>
      <c r="BI34" s="8">
        <f t="shared" si="32"/>
        <v>-1.6369694503212016</v>
      </c>
      <c r="BK34" s="1">
        <f t="shared" si="33"/>
        <v>0</v>
      </c>
      <c r="BL34" s="8">
        <f t="shared" si="34"/>
        <v>0</v>
      </c>
      <c r="BN34" s="1">
        <f t="shared" si="35"/>
        <v>0</v>
      </c>
      <c r="BO34" s="8">
        <f t="shared" si="36"/>
        <v>0</v>
      </c>
      <c r="BQ34" s="1">
        <f t="shared" si="37"/>
        <v>0</v>
      </c>
      <c r="BR34" s="8">
        <f t="shared" si="38"/>
        <v>0</v>
      </c>
      <c r="BT34" s="1">
        <f t="shared" si="39"/>
        <v>0</v>
      </c>
      <c r="BU34" s="8">
        <f t="shared" si="40"/>
        <v>0</v>
      </c>
    </row>
    <row r="35" spans="5:73" x14ac:dyDescent="0.25">
      <c r="E35" s="32">
        <v>0.18534</v>
      </c>
      <c r="F35" s="35">
        <v>-0.38857000000000003</v>
      </c>
      <c r="G35" s="34">
        <f t="shared" si="0"/>
        <v>-0.31526999999999999</v>
      </c>
      <c r="H35" s="8">
        <f t="shared" si="41"/>
        <v>-0.40601000000000004</v>
      </c>
      <c r="I35" s="26"/>
      <c r="J35" s="46">
        <v>7.4999999999999997E-2</v>
      </c>
      <c r="K35" s="47">
        <v>-3.61E-2</v>
      </c>
      <c r="L35" s="1">
        <f t="shared" si="1"/>
        <v>-0.42499999999999999</v>
      </c>
      <c r="M35" s="8">
        <f t="shared" si="2"/>
        <v>-3.6900000000000002E-2</v>
      </c>
      <c r="O35" s="1">
        <f t="shared" si="42"/>
        <v>2.4389110934423912</v>
      </c>
      <c r="P35" s="8">
        <f t="shared" si="43"/>
        <v>-27.707685777822896</v>
      </c>
      <c r="R35" s="1">
        <f t="shared" si="3"/>
        <v>-32.479462621676404</v>
      </c>
      <c r="S35" s="8">
        <f t="shared" si="4"/>
        <v>-24.423679163589615</v>
      </c>
      <c r="U35" s="1">
        <f t="shared" si="5"/>
        <v>-34.799293936027055</v>
      </c>
      <c r="V35" s="8">
        <f t="shared" si="6"/>
        <v>-18.450307691066275</v>
      </c>
      <c r="X35" s="1">
        <f t="shared" si="7"/>
        <v>-32.514812309808889</v>
      </c>
      <c r="Y35" s="8">
        <f t="shared" si="8"/>
        <v>-13.290355793718097</v>
      </c>
      <c r="AA35" s="1">
        <f t="shared" si="9"/>
        <v>-28.451181152369767</v>
      </c>
      <c r="AB35" s="8">
        <f t="shared" si="10"/>
        <v>-9.2784962975562184</v>
      </c>
      <c r="AD35" s="1">
        <f t="shared" si="11"/>
        <v>-23.919627330458518</v>
      </c>
      <c r="AE35" s="8">
        <f t="shared" si="12"/>
        <v>-6.2449433176376399</v>
      </c>
      <c r="AG35" s="1">
        <f t="shared" si="13"/>
        <v>-23.143115608274364</v>
      </c>
      <c r="AH35" s="8">
        <f t="shared" si="14"/>
        <v>-5.5528289586793962</v>
      </c>
      <c r="AJ35" s="1">
        <f t="shared" si="15"/>
        <v>-21.300869592943705</v>
      </c>
      <c r="AK35" s="8">
        <f t="shared" si="16"/>
        <v>-4.2803778493721012</v>
      </c>
      <c r="AM35" s="1">
        <f t="shared" si="17"/>
        <v>-19.765616103634727</v>
      </c>
      <c r="AN35" s="8">
        <f t="shared" si="18"/>
        <v>-3.3403281753439602</v>
      </c>
      <c r="AP35" s="1">
        <f t="shared" si="19"/>
        <v>-19.042055738029863</v>
      </c>
      <c r="AQ35" s="8">
        <f t="shared" si="20"/>
        <v>-2.866983910544318</v>
      </c>
      <c r="AS35" s="1">
        <f t="shared" si="21"/>
        <v>-17.830758704624753</v>
      </c>
      <c r="AT35" s="8">
        <f t="shared" si="22"/>
        <v>-2.417841592580559</v>
      </c>
      <c r="AV35" s="1">
        <f t="shared" si="23"/>
        <v>-17.643033308781046</v>
      </c>
      <c r="AW35" s="8">
        <f t="shared" si="24"/>
        <v>-2.1732246128441406</v>
      </c>
      <c r="AY35" s="1">
        <f t="shared" si="25"/>
        <v>-17.664476167214126</v>
      </c>
      <c r="AZ35" s="8">
        <f t="shared" si="26"/>
        <v>-1.9914344806076534</v>
      </c>
      <c r="BB35" s="1">
        <f t="shared" si="27"/>
        <v>-17.664476167214126</v>
      </c>
      <c r="BC35" s="8">
        <f t="shared" si="28"/>
        <v>-1.9914344806076534</v>
      </c>
      <c r="BE35" s="1">
        <f t="shared" si="29"/>
        <v>-17.6792482665969</v>
      </c>
      <c r="BF35" s="8">
        <f t="shared" si="30"/>
        <v>-1.8557236541736395</v>
      </c>
      <c r="BH35" s="1">
        <f t="shared" si="31"/>
        <v>-17.6792482665969</v>
      </c>
      <c r="BI35" s="8">
        <f t="shared" si="32"/>
        <v>-1.8557236541736395</v>
      </c>
      <c r="BK35" s="1">
        <f t="shared" si="33"/>
        <v>0</v>
      </c>
      <c r="BL35" s="8">
        <f t="shared" si="34"/>
        <v>0</v>
      </c>
      <c r="BN35" s="1">
        <f t="shared" si="35"/>
        <v>0</v>
      </c>
      <c r="BO35" s="8">
        <f t="shared" si="36"/>
        <v>0</v>
      </c>
      <c r="BQ35" s="1">
        <f t="shared" si="37"/>
        <v>0</v>
      </c>
      <c r="BR35" s="8">
        <f t="shared" si="38"/>
        <v>0</v>
      </c>
      <c r="BT35" s="1">
        <f t="shared" si="39"/>
        <v>0</v>
      </c>
      <c r="BU35" s="8">
        <f t="shared" si="40"/>
        <v>0</v>
      </c>
    </row>
    <row r="36" spans="5:73" x14ac:dyDescent="0.25">
      <c r="E36" s="32">
        <v>0.26526</v>
      </c>
      <c r="F36" s="35">
        <v>-0.44146999999999997</v>
      </c>
      <c r="G36" s="34">
        <f t="shared" si="0"/>
        <v>-0.23535</v>
      </c>
      <c r="H36" s="8">
        <f t="shared" si="41"/>
        <v>-0.45890999999999998</v>
      </c>
      <c r="I36" s="26"/>
      <c r="J36" s="46">
        <v>0.1</v>
      </c>
      <c r="K36" s="47">
        <v>-4.0899999999999999E-2</v>
      </c>
      <c r="L36" s="1">
        <f t="shared" si="1"/>
        <v>-0.4</v>
      </c>
      <c r="M36" s="8">
        <f t="shared" si="2"/>
        <v>-4.1700000000000001E-2</v>
      </c>
      <c r="O36" s="1">
        <f t="shared" si="42"/>
        <v>7.5558701210111971</v>
      </c>
      <c r="P36" s="8">
        <f t="shared" si="43"/>
        <v>-26.864344802076719</v>
      </c>
      <c r="R36" s="1">
        <f t="shared" si="3"/>
        <v>-30.217226529373271</v>
      </c>
      <c r="S36" s="8">
        <f t="shared" si="4"/>
        <v>-23.550234347825597</v>
      </c>
      <c r="U36" s="1">
        <f t="shared" si="5"/>
        <v>-32.501114505885894</v>
      </c>
      <c r="V36" s="8">
        <f t="shared" si="6"/>
        <v>-17.95755884303918</v>
      </c>
      <c r="X36" s="1">
        <f t="shared" si="7"/>
        <v>-30.431782485393263</v>
      </c>
      <c r="Y36" s="8">
        <f t="shared" si="8"/>
        <v>-13.056652275518253</v>
      </c>
      <c r="AA36" s="1">
        <f t="shared" si="9"/>
        <v>-26.666752771513998</v>
      </c>
      <c r="AB36" s="8">
        <f t="shared" si="10"/>
        <v>-9.2089637548410366</v>
      </c>
      <c r="AD36" s="1">
        <f t="shared" si="11"/>
        <v>-22.44473837806882</v>
      </c>
      <c r="AE36" s="8">
        <f t="shared" si="12"/>
        <v>-6.2757998601986742</v>
      </c>
      <c r="AG36" s="1">
        <f t="shared" si="13"/>
        <v>-21.724073017770234</v>
      </c>
      <c r="AH36" s="8">
        <f t="shared" si="14"/>
        <v>-5.6107793176025362</v>
      </c>
      <c r="AJ36" s="1">
        <f t="shared" si="15"/>
        <v>-20.008304448829588</v>
      </c>
      <c r="AK36" s="8">
        <f t="shared" si="16"/>
        <v>-4.3813905120300731</v>
      </c>
      <c r="AM36" s="1">
        <f t="shared" si="17"/>
        <v>-18.576492863214462</v>
      </c>
      <c r="AN36" s="8">
        <f t="shared" si="18"/>
        <v>-3.4703173529565623</v>
      </c>
      <c r="AP36" s="1">
        <f t="shared" si="19"/>
        <v>-17.902177627551104</v>
      </c>
      <c r="AQ36" s="8">
        <f t="shared" si="20"/>
        <v>-3.012369256557498</v>
      </c>
      <c r="AS36" s="1">
        <f t="shared" si="21"/>
        <v>-16.767732787647159</v>
      </c>
      <c r="AT36" s="8">
        <f t="shared" si="22"/>
        <v>-2.5692939650609317</v>
      </c>
      <c r="AV36" s="1">
        <f t="shared" si="23"/>
        <v>-16.594766775536108</v>
      </c>
      <c r="AW36" s="8">
        <f t="shared" si="24"/>
        <v>-2.335664564933043</v>
      </c>
      <c r="AY36" s="1">
        <f t="shared" si="25"/>
        <v>-16.617937897685874</v>
      </c>
      <c r="AZ36" s="8">
        <f t="shared" si="26"/>
        <v>-2.1646600940971332</v>
      </c>
      <c r="BB36" s="1">
        <f t="shared" si="27"/>
        <v>-16.617937897685874</v>
      </c>
      <c r="BC36" s="8">
        <f t="shared" si="28"/>
        <v>-2.1646600940971332</v>
      </c>
      <c r="BE36" s="1">
        <f t="shared" si="29"/>
        <v>-16.634071120294202</v>
      </c>
      <c r="BF36" s="8">
        <f t="shared" si="30"/>
        <v>-2.0369809177592715</v>
      </c>
      <c r="BH36" s="1">
        <f t="shared" si="31"/>
        <v>-16.634071120294202</v>
      </c>
      <c r="BI36" s="8">
        <f t="shared" si="32"/>
        <v>-2.0369809177592715</v>
      </c>
      <c r="BK36" s="1">
        <f t="shared" si="33"/>
        <v>0</v>
      </c>
      <c r="BL36" s="8">
        <f t="shared" si="34"/>
        <v>0</v>
      </c>
      <c r="BN36" s="1">
        <f t="shared" si="35"/>
        <v>0</v>
      </c>
      <c r="BO36" s="8">
        <f t="shared" si="36"/>
        <v>0</v>
      </c>
      <c r="BQ36" s="1">
        <f t="shared" si="37"/>
        <v>0</v>
      </c>
      <c r="BR36" s="8">
        <f t="shared" si="38"/>
        <v>0</v>
      </c>
      <c r="BT36" s="1">
        <f t="shared" si="39"/>
        <v>0</v>
      </c>
      <c r="BU36" s="8">
        <f t="shared" si="40"/>
        <v>0</v>
      </c>
    </row>
    <row r="37" spans="5:73" x14ac:dyDescent="0.25">
      <c r="E37" s="32">
        <v>0.35381000000000001</v>
      </c>
      <c r="F37" s="35">
        <v>-0.47815000000000002</v>
      </c>
      <c r="G37" s="34">
        <f t="shared" si="0"/>
        <v>-0.14679999999999999</v>
      </c>
      <c r="H37" s="8">
        <f t="shared" si="41"/>
        <v>-0.49559000000000003</v>
      </c>
      <c r="I37" s="26"/>
      <c r="J37" s="46">
        <v>0.15</v>
      </c>
      <c r="K37" s="47">
        <v>-4.8399999999999999E-2</v>
      </c>
      <c r="L37" s="1">
        <f t="shared" si="1"/>
        <v>-0.35</v>
      </c>
      <c r="M37" s="8">
        <f t="shared" si="2"/>
        <v>-4.9200000000000001E-2</v>
      </c>
      <c r="O37" s="1">
        <f t="shared" si="42"/>
        <v>12.418130685177072</v>
      </c>
      <c r="P37" s="8">
        <f t="shared" si="43"/>
        <v>-25.0600233541854</v>
      </c>
      <c r="R37" s="1">
        <f t="shared" si="3"/>
        <v>-25.798703348899501</v>
      </c>
      <c r="S37" s="8">
        <f t="shared" si="4"/>
        <v>-21.633659093337531</v>
      </c>
      <c r="U37" s="1">
        <f t="shared" si="5"/>
        <v>-27.980422214298777</v>
      </c>
      <c r="V37" s="8">
        <f t="shared" si="6"/>
        <v>-16.793542056042593</v>
      </c>
      <c r="X37" s="1">
        <f t="shared" si="7"/>
        <v>-26.317056666781738</v>
      </c>
      <c r="Y37" s="8">
        <f t="shared" si="8"/>
        <v>-12.424126829269849</v>
      </c>
      <c r="AA37" s="1">
        <f t="shared" si="9"/>
        <v>-23.131285147157502</v>
      </c>
      <c r="AB37" s="8">
        <f t="shared" si="10"/>
        <v>-8.9264173997909566</v>
      </c>
      <c r="AD37" s="1">
        <f t="shared" si="11"/>
        <v>-19.515401977140474</v>
      </c>
      <c r="AE37" s="8">
        <f t="shared" si="12"/>
        <v>-6.2175470420594099</v>
      </c>
      <c r="AG37" s="1">
        <f t="shared" si="13"/>
        <v>-18.903365707678599</v>
      </c>
      <c r="AH37" s="8">
        <f t="shared" si="14"/>
        <v>-5.6108170090624636</v>
      </c>
      <c r="AJ37" s="1">
        <f t="shared" si="15"/>
        <v>-17.435096097307618</v>
      </c>
      <c r="AK37" s="8">
        <f t="shared" si="16"/>
        <v>-4.4771293770880343</v>
      </c>
      <c r="AM37" s="1">
        <f t="shared" si="17"/>
        <v>-16.206211832714601</v>
      </c>
      <c r="AN37" s="8">
        <f t="shared" si="18"/>
        <v>-3.6319387224518729</v>
      </c>
      <c r="AP37" s="1">
        <f t="shared" si="19"/>
        <v>-15.628373571101843</v>
      </c>
      <c r="AQ37" s="8">
        <f t="shared" si="20"/>
        <v>-3.2085330028892294</v>
      </c>
      <c r="AS37" s="1">
        <f t="shared" si="21"/>
        <v>-14.645946202269075</v>
      </c>
      <c r="AT37" s="8">
        <f t="shared" si="22"/>
        <v>-2.7837234607223644</v>
      </c>
      <c r="AV37" s="1">
        <f t="shared" si="23"/>
        <v>-14.501379238906189</v>
      </c>
      <c r="AW37" s="8">
        <f t="shared" si="24"/>
        <v>-2.573094022051384</v>
      </c>
      <c r="AY37" s="1">
        <f t="shared" si="25"/>
        <v>-14.527106221675854</v>
      </c>
      <c r="AZ37" s="8">
        <f t="shared" si="26"/>
        <v>-2.4236331201406465</v>
      </c>
      <c r="BB37" s="1">
        <f t="shared" si="27"/>
        <v>-14.527106221675854</v>
      </c>
      <c r="BC37" s="8">
        <f t="shared" si="28"/>
        <v>-2.4236331201406465</v>
      </c>
      <c r="BE37" s="1">
        <f t="shared" si="29"/>
        <v>-14.545289846787142</v>
      </c>
      <c r="BF37" s="8">
        <f t="shared" si="30"/>
        <v>-2.3120025843079892</v>
      </c>
      <c r="BH37" s="1">
        <f t="shared" si="31"/>
        <v>-14.545289846787142</v>
      </c>
      <c r="BI37" s="8">
        <f t="shared" si="32"/>
        <v>-2.3120025843079892</v>
      </c>
      <c r="BK37" s="1">
        <f t="shared" si="33"/>
        <v>0</v>
      </c>
      <c r="BL37" s="8">
        <f t="shared" si="34"/>
        <v>0</v>
      </c>
      <c r="BN37" s="1">
        <f t="shared" si="35"/>
        <v>0</v>
      </c>
      <c r="BO37" s="8">
        <f t="shared" si="36"/>
        <v>0</v>
      </c>
      <c r="BQ37" s="1">
        <f t="shared" si="37"/>
        <v>0</v>
      </c>
      <c r="BR37" s="8">
        <f t="shared" si="38"/>
        <v>0</v>
      </c>
      <c r="BT37" s="1">
        <f t="shared" si="39"/>
        <v>0</v>
      </c>
      <c r="BU37" s="8">
        <f t="shared" si="40"/>
        <v>0</v>
      </c>
    </row>
    <row r="38" spans="5:73" x14ac:dyDescent="0.25">
      <c r="E38" s="32">
        <v>0.44774000000000003</v>
      </c>
      <c r="F38" s="35">
        <v>-0.49725999999999998</v>
      </c>
      <c r="G38" s="34">
        <f t="shared" si="0"/>
        <v>-5.2869999999999973E-2</v>
      </c>
      <c r="H38" s="8">
        <f t="shared" si="41"/>
        <v>-0.51469999999999994</v>
      </c>
      <c r="I38" s="26"/>
      <c r="J38" s="46">
        <v>0.2</v>
      </c>
      <c r="K38" s="47">
        <v>-5.4100000000000002E-2</v>
      </c>
      <c r="L38" s="1">
        <f t="shared" si="1"/>
        <v>-0.3</v>
      </c>
      <c r="M38" s="8">
        <f t="shared" si="2"/>
        <v>-5.4900000000000004E-2</v>
      </c>
      <c r="O38" s="1">
        <f t="shared" si="42"/>
        <v>16.847097812817182</v>
      </c>
      <c r="P38" s="8">
        <f t="shared" si="43"/>
        <v>-22.360795477719424</v>
      </c>
      <c r="R38" s="1">
        <f t="shared" si="3"/>
        <v>-21.470993600539302</v>
      </c>
      <c r="S38" s="8">
        <f t="shared" si="4"/>
        <v>-19.571639019169456</v>
      </c>
      <c r="U38" s="1">
        <f t="shared" si="5"/>
        <v>-23.524586981593277</v>
      </c>
      <c r="V38" s="8">
        <f t="shared" si="6"/>
        <v>-15.476508905381118</v>
      </c>
      <c r="X38" s="1">
        <f t="shared" si="7"/>
        <v>-22.246331274072851</v>
      </c>
      <c r="Y38" s="8">
        <f t="shared" si="8"/>
        <v>-11.65007131743682</v>
      </c>
      <c r="AA38" s="1">
        <f t="shared" si="9"/>
        <v>-19.624436783391065</v>
      </c>
      <c r="AB38" s="8">
        <f t="shared" si="10"/>
        <v>-8.520887099352553</v>
      </c>
      <c r="AD38" s="1">
        <f t="shared" si="11"/>
        <v>-16.603586865227314</v>
      </c>
      <c r="AE38" s="8">
        <f t="shared" si="12"/>
        <v>-6.0564663068390034</v>
      </c>
      <c r="AG38" s="1">
        <f t="shared" si="13"/>
        <v>-16.09755371551552</v>
      </c>
      <c r="AH38" s="8">
        <f t="shared" si="14"/>
        <v>-5.5115435350483741</v>
      </c>
      <c r="AJ38" s="1">
        <f t="shared" si="15"/>
        <v>-14.872106548676729</v>
      </c>
      <c r="AK38" s="8">
        <f t="shared" si="16"/>
        <v>-4.4817655619248669</v>
      </c>
      <c r="AM38" s="1">
        <f t="shared" si="17"/>
        <v>-13.842758331078182</v>
      </c>
      <c r="AN38" s="8">
        <f t="shared" si="18"/>
        <v>-3.7092541041787053</v>
      </c>
      <c r="AP38" s="1">
        <f t="shared" si="19"/>
        <v>-13.359671369945382</v>
      </c>
      <c r="AQ38" s="8">
        <f t="shared" si="20"/>
        <v>-3.3236050814827065</v>
      </c>
      <c r="AS38" s="1">
        <f t="shared" si="21"/>
        <v>-12.527815544242804</v>
      </c>
      <c r="AT38" s="8">
        <f t="shared" si="22"/>
        <v>-2.9223170284129583</v>
      </c>
      <c r="AV38" s="1">
        <f t="shared" si="23"/>
        <v>-12.410687870727651</v>
      </c>
      <c r="AW38" s="8">
        <f t="shared" si="24"/>
        <v>-2.7355659531187557</v>
      </c>
      <c r="AY38" s="1">
        <f t="shared" si="25"/>
        <v>-12.438198713991397</v>
      </c>
      <c r="AZ38" s="8">
        <f t="shared" si="26"/>
        <v>-2.6076248310966332</v>
      </c>
      <c r="BB38" s="1">
        <f t="shared" si="27"/>
        <v>-12.438198713991397</v>
      </c>
      <c r="BC38" s="8">
        <f t="shared" si="28"/>
        <v>-2.6076248310966332</v>
      </c>
      <c r="BE38" s="1">
        <f t="shared" si="29"/>
        <v>-12.457856875364373</v>
      </c>
      <c r="BF38" s="8">
        <f t="shared" si="30"/>
        <v>-2.5120303703230968</v>
      </c>
      <c r="BH38" s="1">
        <f t="shared" si="31"/>
        <v>-12.457856875364373</v>
      </c>
      <c r="BI38" s="8">
        <f t="shared" si="32"/>
        <v>-2.5120303703230968</v>
      </c>
      <c r="BK38" s="1">
        <f t="shared" si="33"/>
        <v>0</v>
      </c>
      <c r="BL38" s="8">
        <f t="shared" si="34"/>
        <v>0</v>
      </c>
      <c r="BN38" s="1">
        <f t="shared" si="35"/>
        <v>0</v>
      </c>
      <c r="BO38" s="8">
        <f t="shared" si="36"/>
        <v>0</v>
      </c>
      <c r="BQ38" s="1">
        <f t="shared" si="37"/>
        <v>0</v>
      </c>
      <c r="BR38" s="8">
        <f t="shared" si="38"/>
        <v>0</v>
      </c>
      <c r="BT38" s="1">
        <f t="shared" si="39"/>
        <v>0</v>
      </c>
      <c r="BU38" s="8">
        <f t="shared" si="40"/>
        <v>0</v>
      </c>
    </row>
    <row r="39" spans="5:73" x14ac:dyDescent="0.25">
      <c r="E39" s="32">
        <v>0.54357999999999995</v>
      </c>
      <c r="F39" s="35">
        <v>-0.49809999999999999</v>
      </c>
      <c r="G39" s="34">
        <f t="shared" si="0"/>
        <v>4.2969999999999953E-2</v>
      </c>
      <c r="H39" s="8">
        <f t="shared" si="41"/>
        <v>-0.51554</v>
      </c>
      <c r="I39" s="26"/>
      <c r="J39" s="46">
        <v>0.25</v>
      </c>
      <c r="K39" s="47">
        <v>-5.7799999999999997E-2</v>
      </c>
      <c r="L39" s="1">
        <f t="shared" si="1"/>
        <v>-0.25</v>
      </c>
      <c r="M39" s="8">
        <f t="shared" si="2"/>
        <v>-5.8599999999999999E-2</v>
      </c>
      <c r="O39" s="1">
        <f t="shared" si="42"/>
        <v>20.679374519594791</v>
      </c>
      <c r="P39" s="8">
        <f t="shared" si="43"/>
        <v>-18.866613904635216</v>
      </c>
      <c r="R39" s="1">
        <f t="shared" si="3"/>
        <v>-17.244187665638634</v>
      </c>
      <c r="S39" s="8">
        <f t="shared" si="4"/>
        <v>-17.348013589801351</v>
      </c>
      <c r="U39" s="1">
        <f t="shared" si="5"/>
        <v>-19.140815147645117</v>
      </c>
      <c r="V39" s="8">
        <f t="shared" si="6"/>
        <v>-13.989457572869764</v>
      </c>
      <c r="X39" s="1">
        <f t="shared" si="7"/>
        <v>-18.22449524347801</v>
      </c>
      <c r="Y39" s="8">
        <f t="shared" si="8"/>
        <v>-10.718760177176437</v>
      </c>
      <c r="AA39" s="1">
        <f t="shared" si="9"/>
        <v>-16.14938759805802</v>
      </c>
      <c r="AB39" s="8">
        <f t="shared" si="10"/>
        <v>-7.9787079707048978</v>
      </c>
      <c r="AD39" s="1">
        <f t="shared" si="11"/>
        <v>-13.711239852219913</v>
      </c>
      <c r="AE39" s="8">
        <f t="shared" si="12"/>
        <v>-5.7811323304173277</v>
      </c>
      <c r="AG39" s="1">
        <f t="shared" si="13"/>
        <v>-13.308292076606373</v>
      </c>
      <c r="AH39" s="8">
        <f t="shared" si="14"/>
        <v>-5.3019243216187091</v>
      </c>
      <c r="AJ39" s="1">
        <f t="shared" si="15"/>
        <v>-12.320471225480381</v>
      </c>
      <c r="AK39" s="8">
        <f t="shared" si="16"/>
        <v>-4.3851765465160009</v>
      </c>
      <c r="AM39" s="1">
        <f t="shared" si="17"/>
        <v>-11.486890972623369</v>
      </c>
      <c r="AN39" s="8">
        <f t="shared" si="18"/>
        <v>-3.6928961661627828</v>
      </c>
      <c r="AP39" s="1">
        <f t="shared" si="19"/>
        <v>-11.096637896892027</v>
      </c>
      <c r="AQ39" s="8">
        <f t="shared" si="20"/>
        <v>-3.3485753070336792</v>
      </c>
      <c r="AS39" s="1">
        <f t="shared" si="21"/>
        <v>-10.413747027718552</v>
      </c>
      <c r="AT39" s="8">
        <f t="shared" si="22"/>
        <v>-2.9766484539137315</v>
      </c>
      <c r="AV39" s="1">
        <f t="shared" si="23"/>
        <v>-10.322992245272879</v>
      </c>
      <c r="AW39" s="8">
        <f t="shared" si="24"/>
        <v>-2.8147517441294942</v>
      </c>
      <c r="AY39" s="1">
        <f t="shared" si="25"/>
        <v>-10.351429171113121</v>
      </c>
      <c r="AZ39" s="8">
        <f t="shared" si="26"/>
        <v>-2.7083039697331457</v>
      </c>
      <c r="BB39" s="1">
        <f t="shared" si="27"/>
        <v>-10.351429171113121</v>
      </c>
      <c r="BC39" s="8">
        <f t="shared" si="28"/>
        <v>-2.7083039697331457</v>
      </c>
      <c r="BE39" s="1">
        <f t="shared" si="29"/>
        <v>-10.37192201736859</v>
      </c>
      <c r="BF39" s="8">
        <f t="shared" si="30"/>
        <v>-2.6287316224119697</v>
      </c>
      <c r="BH39" s="1">
        <f t="shared" si="31"/>
        <v>-10.37192201736859</v>
      </c>
      <c r="BI39" s="8">
        <f t="shared" si="32"/>
        <v>-2.6287316224119697</v>
      </c>
      <c r="BK39" s="1">
        <f t="shared" si="33"/>
        <v>0</v>
      </c>
      <c r="BL39" s="8">
        <f t="shared" si="34"/>
        <v>0</v>
      </c>
      <c r="BN39" s="1">
        <f t="shared" si="35"/>
        <v>0</v>
      </c>
      <c r="BO39" s="8">
        <f t="shared" si="36"/>
        <v>0</v>
      </c>
      <c r="BQ39" s="1">
        <f t="shared" si="37"/>
        <v>0</v>
      </c>
      <c r="BR39" s="8">
        <f t="shared" si="38"/>
        <v>0</v>
      </c>
      <c r="BT39" s="1">
        <f t="shared" si="39"/>
        <v>0</v>
      </c>
      <c r="BU39" s="8">
        <f t="shared" si="40"/>
        <v>0</v>
      </c>
    </row>
    <row r="40" spans="5:73" x14ac:dyDescent="0.25">
      <c r="E40" s="32">
        <v>0.63782000000000005</v>
      </c>
      <c r="F40" s="35">
        <v>-0.48063</v>
      </c>
      <c r="G40" s="34">
        <f t="shared" si="0"/>
        <v>0.13721000000000005</v>
      </c>
      <c r="H40" s="8">
        <f t="shared" si="41"/>
        <v>-0.49807000000000001</v>
      </c>
      <c r="I40" s="26"/>
      <c r="J40" s="46">
        <v>0.3</v>
      </c>
      <c r="K40" s="47">
        <v>-5.96E-2</v>
      </c>
      <c r="L40" s="1">
        <f t="shared" si="1"/>
        <v>-0.2</v>
      </c>
      <c r="M40" s="8">
        <f t="shared" si="2"/>
        <v>-6.0400000000000002E-2</v>
      </c>
      <c r="O40" s="1">
        <f t="shared" si="42"/>
        <v>23.774269319466082</v>
      </c>
      <c r="P40" s="8">
        <f t="shared" si="43"/>
        <v>-14.705081588830188</v>
      </c>
      <c r="R40" s="1">
        <f t="shared" si="3"/>
        <v>-13.113240353524517</v>
      </c>
      <c r="S40" s="8">
        <f t="shared" si="4"/>
        <v>-14.970863072993232</v>
      </c>
      <c r="U40" s="1">
        <f t="shared" si="5"/>
        <v>-14.825503542516438</v>
      </c>
      <c r="V40" s="8">
        <f t="shared" si="6"/>
        <v>-12.340888967601019</v>
      </c>
      <c r="X40" s="1">
        <f t="shared" si="7"/>
        <v>-14.249104106891499</v>
      </c>
      <c r="Y40" s="8">
        <f t="shared" si="8"/>
        <v>-9.6380561899100705</v>
      </c>
      <c r="AA40" s="1">
        <f t="shared" si="9"/>
        <v>-12.704547632236695</v>
      </c>
      <c r="AB40" s="8">
        <f t="shared" si="10"/>
        <v>-7.3067124552584559</v>
      </c>
      <c r="AD40" s="1">
        <f t="shared" si="11"/>
        <v>-10.837387533172986</v>
      </c>
      <c r="AE40" s="8">
        <f t="shared" si="12"/>
        <v>-5.3972577748544452</v>
      </c>
      <c r="AG40" s="1">
        <f t="shared" si="13"/>
        <v>-10.534753273288473</v>
      </c>
      <c r="AH40" s="8">
        <f t="shared" si="14"/>
        <v>-4.98747665574425</v>
      </c>
      <c r="AJ40" s="1">
        <f t="shared" si="15"/>
        <v>-9.7796224164468395</v>
      </c>
      <c r="AK40" s="8">
        <f t="shared" si="16"/>
        <v>-4.1924235908737222</v>
      </c>
      <c r="AM40" s="1">
        <f t="shared" si="17"/>
        <v>-9.1382304501910756</v>
      </c>
      <c r="AN40" s="8">
        <f t="shared" si="18"/>
        <v>-3.5875485743912447</v>
      </c>
      <c r="AP40" s="1">
        <f t="shared" si="19"/>
        <v>-8.8389897155366235</v>
      </c>
      <c r="AQ40" s="8">
        <f t="shared" si="20"/>
        <v>-3.2879487721942726</v>
      </c>
      <c r="AS40" s="1">
        <f t="shared" si="21"/>
        <v>-8.3035375456212162</v>
      </c>
      <c r="AT40" s="8">
        <f t="shared" si="22"/>
        <v>-2.9509308443341751</v>
      </c>
      <c r="AV40" s="1">
        <f t="shared" si="23"/>
        <v>-8.238142575405675</v>
      </c>
      <c r="AW40" s="8">
        <f t="shared" si="24"/>
        <v>-2.8148157020864324</v>
      </c>
      <c r="AY40" s="1">
        <f t="shared" si="25"/>
        <v>-8.2666906948007153</v>
      </c>
      <c r="AZ40" s="8">
        <f t="shared" si="26"/>
        <v>-2.7298361646661591</v>
      </c>
      <c r="BB40" s="1">
        <f t="shared" si="27"/>
        <v>-8.2666906948007153</v>
      </c>
      <c r="BC40" s="8">
        <f t="shared" si="28"/>
        <v>-2.7298361646661591</v>
      </c>
      <c r="BE40" s="1">
        <f t="shared" si="29"/>
        <v>-8.2874103671284445</v>
      </c>
      <c r="BF40" s="8">
        <f t="shared" si="30"/>
        <v>-2.66627266727092</v>
      </c>
      <c r="BH40" s="1">
        <f t="shared" si="31"/>
        <v>-8.2874103671284445</v>
      </c>
      <c r="BI40" s="8">
        <f t="shared" si="32"/>
        <v>-2.66627266727092</v>
      </c>
      <c r="BK40" s="1">
        <f t="shared" si="33"/>
        <v>0</v>
      </c>
      <c r="BL40" s="8">
        <f t="shared" si="34"/>
        <v>0</v>
      </c>
      <c r="BN40" s="1">
        <f t="shared" si="35"/>
        <v>0</v>
      </c>
      <c r="BO40" s="8">
        <f t="shared" si="36"/>
        <v>0</v>
      </c>
      <c r="BQ40" s="1">
        <f t="shared" si="37"/>
        <v>0</v>
      </c>
      <c r="BR40" s="8">
        <f t="shared" si="38"/>
        <v>0</v>
      </c>
      <c r="BT40" s="1">
        <f t="shared" si="39"/>
        <v>0</v>
      </c>
      <c r="BU40" s="8">
        <f t="shared" si="40"/>
        <v>0</v>
      </c>
    </row>
    <row r="41" spans="5:73" x14ac:dyDescent="0.25">
      <c r="E41" s="32">
        <v>0.72699999999999998</v>
      </c>
      <c r="F41" s="35">
        <v>-0.44550000000000001</v>
      </c>
      <c r="G41" s="34">
        <f t="shared" si="0"/>
        <v>0.22638999999999998</v>
      </c>
      <c r="H41" s="8">
        <f t="shared" si="41"/>
        <v>-0.46294000000000002</v>
      </c>
      <c r="I41" s="26"/>
      <c r="J41" s="46">
        <v>0.4</v>
      </c>
      <c r="K41" s="47">
        <v>-5.9200000000000003E-2</v>
      </c>
      <c r="L41" s="1">
        <f t="shared" si="1"/>
        <v>-9.9999999999999978E-2</v>
      </c>
      <c r="M41" s="8">
        <f t="shared" si="2"/>
        <v>-6.0000000000000005E-2</v>
      </c>
      <c r="O41" s="1">
        <f t="shared" si="42"/>
        <v>26.018470132552938</v>
      </c>
      <c r="P41" s="8">
        <f t="shared" si="43"/>
        <v>-10.029329062956434</v>
      </c>
      <c r="R41" s="1">
        <f t="shared" si="3"/>
        <v>-5.0531533562153221</v>
      </c>
      <c r="S41" s="8">
        <f t="shared" si="4"/>
        <v>-9.8933513289769408</v>
      </c>
      <c r="U41" s="1">
        <f t="shared" si="5"/>
        <v>-6.3390071297737682</v>
      </c>
      <c r="V41" s="8">
        <f t="shared" si="6"/>
        <v>-8.7037153933637619</v>
      </c>
      <c r="X41" s="1">
        <f t="shared" si="7"/>
        <v>-6.3961005579465597</v>
      </c>
      <c r="Y41" s="8">
        <f t="shared" si="8"/>
        <v>-7.1621369585226224</v>
      </c>
      <c r="AA41" s="1">
        <f t="shared" si="9"/>
        <v>-5.8784660574608232</v>
      </c>
      <c r="AB41" s="8">
        <f t="shared" si="10"/>
        <v>-5.6894237679470665</v>
      </c>
      <c r="AD41" s="1">
        <f t="shared" si="11"/>
        <v>-5.128619092890653</v>
      </c>
      <c r="AE41" s="8">
        <f t="shared" si="12"/>
        <v>-4.4010021813261408</v>
      </c>
      <c r="AG41" s="1">
        <f t="shared" si="13"/>
        <v>-5.020776373160543</v>
      </c>
      <c r="AH41" s="8">
        <f t="shared" si="14"/>
        <v>-4.1378898451641826</v>
      </c>
      <c r="AJ41" s="1">
        <f t="shared" si="15"/>
        <v>-4.7206332492488263</v>
      </c>
      <c r="AK41" s="8">
        <f t="shared" si="16"/>
        <v>-3.6044672790977668</v>
      </c>
      <c r="AM41" s="1">
        <f t="shared" si="17"/>
        <v>-4.4560816916896862</v>
      </c>
      <c r="AN41" s="8">
        <f t="shared" si="18"/>
        <v>-3.1895067513626594</v>
      </c>
      <c r="AP41" s="1">
        <f t="shared" si="19"/>
        <v>-4.3350308090320251</v>
      </c>
      <c r="AQ41" s="8">
        <f t="shared" si="20"/>
        <v>-2.9864919964304515</v>
      </c>
      <c r="AS41" s="1">
        <f t="shared" si="21"/>
        <v>-4.0912428644305718</v>
      </c>
      <c r="AT41" s="8">
        <f t="shared" si="22"/>
        <v>-2.7309713407954193</v>
      </c>
      <c r="AV41" s="1">
        <f t="shared" si="23"/>
        <v>-4.0744347211187941</v>
      </c>
      <c r="AW41" s="8">
        <f t="shared" si="24"/>
        <v>-2.6483713378870433</v>
      </c>
      <c r="AY41" s="1">
        <f t="shared" si="25"/>
        <v>-4.1014896717882676</v>
      </c>
      <c r="AZ41" s="8">
        <f t="shared" si="26"/>
        <v>-2.6062754098932377</v>
      </c>
      <c r="BB41" s="1">
        <f t="shared" si="27"/>
        <v>-4.1014896717882676</v>
      </c>
      <c r="BC41" s="8">
        <f t="shared" si="28"/>
        <v>-2.6062754098932377</v>
      </c>
      <c r="BE41" s="1">
        <f t="shared" si="29"/>
        <v>-4.1213832935021237</v>
      </c>
      <c r="BF41" s="8">
        <f t="shared" si="30"/>
        <v>-2.5747016891363517</v>
      </c>
      <c r="BH41" s="1">
        <f t="shared" si="31"/>
        <v>-4.1213832935021237</v>
      </c>
      <c r="BI41" s="8">
        <f t="shared" si="32"/>
        <v>-2.5747016891363517</v>
      </c>
      <c r="BK41" s="1">
        <f t="shared" si="33"/>
        <v>0</v>
      </c>
      <c r="BL41" s="8">
        <f t="shared" si="34"/>
        <v>0</v>
      </c>
      <c r="BN41" s="1">
        <f t="shared" si="35"/>
        <v>0</v>
      </c>
      <c r="BO41" s="8">
        <f t="shared" si="36"/>
        <v>0</v>
      </c>
      <c r="BQ41" s="1">
        <f t="shared" si="37"/>
        <v>0</v>
      </c>
      <c r="BR41" s="8">
        <f t="shared" si="38"/>
        <v>0</v>
      </c>
      <c r="BT41" s="1">
        <f t="shared" si="39"/>
        <v>0</v>
      </c>
      <c r="BU41" s="8">
        <f t="shared" si="40"/>
        <v>0</v>
      </c>
    </row>
    <row r="42" spans="5:73" x14ac:dyDescent="0.25">
      <c r="E42" s="32">
        <v>0.80783000000000005</v>
      </c>
      <c r="F42" s="35">
        <v>-0.39401000000000003</v>
      </c>
      <c r="G42" s="34">
        <f t="shared" si="0"/>
        <v>0.30722000000000005</v>
      </c>
      <c r="H42" s="8">
        <f t="shared" si="41"/>
        <v>-0.41145000000000004</v>
      </c>
      <c r="I42" s="26"/>
      <c r="J42" s="46">
        <v>0.5</v>
      </c>
      <c r="K42" s="47">
        <v>-5.5E-2</v>
      </c>
      <c r="L42" s="1">
        <f t="shared" si="1"/>
        <v>0</v>
      </c>
      <c r="M42" s="8">
        <f t="shared" si="2"/>
        <v>-5.5800000000000002E-2</v>
      </c>
      <c r="O42" s="1">
        <f t="shared" si="42"/>
        <v>27.329331672324766</v>
      </c>
      <c r="P42" s="8">
        <f t="shared" si="43"/>
        <v>-5.0120111593902319</v>
      </c>
      <c r="R42" s="1">
        <f t="shared" si="3"/>
        <v>2.8152163955207672</v>
      </c>
      <c r="S42" s="8">
        <f t="shared" si="4"/>
        <v>-4.5087894100806123</v>
      </c>
      <c r="U42" s="1">
        <f t="shared" si="5"/>
        <v>2.0105688253299423</v>
      </c>
      <c r="V42" s="8">
        <f t="shared" si="6"/>
        <v>-4.743507273611729</v>
      </c>
      <c r="X42" s="1">
        <f t="shared" si="7"/>
        <v>1.3640132029817025</v>
      </c>
      <c r="Y42" s="8">
        <f t="shared" si="8"/>
        <v>-4.3874320331232024</v>
      </c>
      <c r="AA42" s="1">
        <f t="shared" si="9"/>
        <v>0.88719707829160233</v>
      </c>
      <c r="AB42" s="8">
        <f t="shared" si="10"/>
        <v>-3.8125023070381019</v>
      </c>
      <c r="AD42" s="1">
        <f t="shared" si="11"/>
        <v>0.54315995947073215</v>
      </c>
      <c r="AE42" s="8">
        <f t="shared" si="12"/>
        <v>-3.1876654295154241</v>
      </c>
      <c r="AG42" s="1">
        <f t="shared" si="13"/>
        <v>0.46175485578489983</v>
      </c>
      <c r="AH42" s="8">
        <f t="shared" si="14"/>
        <v>-3.0786461296945231</v>
      </c>
      <c r="AJ42" s="1">
        <f t="shared" si="15"/>
        <v>0.31678288962356316</v>
      </c>
      <c r="AK42" s="8">
        <f t="shared" si="16"/>
        <v>-2.8241830868549842</v>
      </c>
      <c r="AM42" s="1">
        <f t="shared" si="17"/>
        <v>0.2116533947666592</v>
      </c>
      <c r="AN42" s="8">
        <f t="shared" si="18"/>
        <v>-2.613485620822841</v>
      </c>
      <c r="AP42" s="1">
        <f t="shared" si="19"/>
        <v>0.15815751407666886</v>
      </c>
      <c r="AQ42" s="8">
        <f t="shared" si="20"/>
        <v>-2.5138416998858717</v>
      </c>
      <c r="AS42" s="1">
        <f t="shared" si="21"/>
        <v>0.11333374790624147</v>
      </c>
      <c r="AT42" s="8">
        <f t="shared" si="22"/>
        <v>-2.3509137670960039</v>
      </c>
      <c r="AV42" s="1">
        <f t="shared" si="23"/>
        <v>8.3581221992939173E-2</v>
      </c>
      <c r="AW42" s="8">
        <f t="shared" si="24"/>
        <v>-2.3236833075800511</v>
      </c>
      <c r="AY42" s="1">
        <f t="shared" si="25"/>
        <v>5.9649218092436944E-2</v>
      </c>
      <c r="AZ42" s="8">
        <f t="shared" si="26"/>
        <v>-2.324420767713316</v>
      </c>
      <c r="BB42" s="1">
        <f t="shared" si="27"/>
        <v>5.9649218092436944E-2</v>
      </c>
      <c r="BC42" s="8">
        <f t="shared" si="28"/>
        <v>-2.324420767713316</v>
      </c>
      <c r="BE42" s="1">
        <f t="shared" si="29"/>
        <v>4.1797364612921314E-2</v>
      </c>
      <c r="BF42" s="8">
        <f t="shared" si="30"/>
        <v>-2.3248102965419384</v>
      </c>
      <c r="BH42" s="1">
        <f t="shared" si="31"/>
        <v>4.1797364612921314E-2</v>
      </c>
      <c r="BI42" s="8">
        <f t="shared" si="32"/>
        <v>-2.3248102965419384</v>
      </c>
      <c r="BK42" s="1">
        <f t="shared" si="33"/>
        <v>0</v>
      </c>
      <c r="BL42" s="8">
        <f t="shared" si="34"/>
        <v>0</v>
      </c>
      <c r="BN42" s="1">
        <f t="shared" si="35"/>
        <v>0</v>
      </c>
      <c r="BO42" s="8">
        <f t="shared" si="36"/>
        <v>0</v>
      </c>
      <c r="BQ42" s="1">
        <f t="shared" si="37"/>
        <v>0</v>
      </c>
      <c r="BR42" s="8">
        <f t="shared" si="38"/>
        <v>0</v>
      </c>
      <c r="BT42" s="1">
        <f t="shared" si="39"/>
        <v>0</v>
      </c>
      <c r="BU42" s="8">
        <f t="shared" si="40"/>
        <v>0</v>
      </c>
    </row>
    <row r="43" spans="5:73" x14ac:dyDescent="0.25">
      <c r="E43" s="32">
        <v>0.87734999999999996</v>
      </c>
      <c r="F43" s="35">
        <v>-0.32802999999999999</v>
      </c>
      <c r="G43" s="34">
        <f t="shared" si="0"/>
        <v>0.37673999999999996</v>
      </c>
      <c r="H43" s="8">
        <f t="shared" si="41"/>
        <v>-0.34547</v>
      </c>
      <c r="I43" s="26"/>
      <c r="J43" s="46">
        <v>0.6</v>
      </c>
      <c r="K43" s="47">
        <v>-4.8099999999999997E-2</v>
      </c>
      <c r="L43" s="1">
        <f t="shared" si="1"/>
        <v>9.9999999999999978E-2</v>
      </c>
      <c r="M43" s="8">
        <f t="shared" si="2"/>
        <v>-4.8899999999999999E-2</v>
      </c>
      <c r="O43" s="1">
        <f t="shared" si="42"/>
        <v>27.658277131846923</v>
      </c>
      <c r="P43" s="8">
        <f t="shared" si="43"/>
        <v>0.16375505784682554</v>
      </c>
      <c r="R43" s="1">
        <f t="shared" si="3"/>
        <v>10.547365999086495</v>
      </c>
      <c r="S43" s="8">
        <f t="shared" si="4"/>
        <v>1.0939397383357483</v>
      </c>
      <c r="U43" s="1">
        <f t="shared" si="5"/>
        <v>10.262859192111236</v>
      </c>
      <c r="V43" s="8">
        <f t="shared" si="6"/>
        <v>-0.55377460836235359</v>
      </c>
      <c r="X43" s="1">
        <f t="shared" si="7"/>
        <v>9.058126325056012</v>
      </c>
      <c r="Y43" s="8">
        <f t="shared" si="8"/>
        <v>-1.4004320093468527</v>
      </c>
      <c r="AA43" s="1">
        <f t="shared" si="9"/>
        <v>7.6099313231589498</v>
      </c>
      <c r="AB43" s="8">
        <f t="shared" si="10"/>
        <v>-1.751104928046648</v>
      </c>
      <c r="AD43" s="1">
        <f t="shared" si="11"/>
        <v>6.1886570783093395</v>
      </c>
      <c r="AE43" s="8">
        <f t="shared" si="12"/>
        <v>-1.8200868020829934</v>
      </c>
      <c r="AG43" s="1">
        <f t="shared" si="13"/>
        <v>5.9219431078375244</v>
      </c>
      <c r="AH43" s="8">
        <f t="shared" si="14"/>
        <v>-1.870435666013839</v>
      </c>
      <c r="AJ43" s="1">
        <f t="shared" si="15"/>
        <v>5.3388708241593283</v>
      </c>
      <c r="AK43" s="8">
        <f t="shared" si="16"/>
        <v>-1.9072448742805088</v>
      </c>
      <c r="AM43" s="1">
        <f t="shared" si="17"/>
        <v>4.869147187927843</v>
      </c>
      <c r="AN43" s="8">
        <f t="shared" si="18"/>
        <v>-1.9110055086303048</v>
      </c>
      <c r="AP43" s="1">
        <f t="shared" si="19"/>
        <v>4.6436930542461683</v>
      </c>
      <c r="AQ43" s="8">
        <f t="shared" si="20"/>
        <v>-1.9195539017339109</v>
      </c>
      <c r="AS43" s="1">
        <f t="shared" si="21"/>
        <v>4.3124264692153327</v>
      </c>
      <c r="AT43" s="8">
        <f t="shared" si="22"/>
        <v>-1.8571023014403305</v>
      </c>
      <c r="AV43" s="1">
        <f t="shared" si="23"/>
        <v>4.2375529124275948</v>
      </c>
      <c r="AW43" s="8">
        <f t="shared" si="24"/>
        <v>-1.8865589881966054</v>
      </c>
      <c r="AY43" s="1">
        <f t="shared" si="25"/>
        <v>4.2179018554847971</v>
      </c>
      <c r="AZ43" s="8">
        <f t="shared" si="26"/>
        <v>-1.930094152902105</v>
      </c>
      <c r="BB43" s="1">
        <f t="shared" si="27"/>
        <v>4.2179018554847971</v>
      </c>
      <c r="BC43" s="8">
        <f t="shared" si="28"/>
        <v>-1.930094152902105</v>
      </c>
      <c r="BE43" s="1">
        <f t="shared" si="29"/>
        <v>4.2029555696015342</v>
      </c>
      <c r="BF43" s="8">
        <f t="shared" si="30"/>
        <v>-1.9624280831471086</v>
      </c>
      <c r="BH43" s="1">
        <f t="shared" si="31"/>
        <v>4.2029555696015342</v>
      </c>
      <c r="BI43" s="8">
        <f t="shared" si="32"/>
        <v>-1.9624280831471086</v>
      </c>
      <c r="BK43" s="1">
        <f t="shared" si="33"/>
        <v>0</v>
      </c>
      <c r="BL43" s="8">
        <f t="shared" si="34"/>
        <v>0</v>
      </c>
      <c r="BN43" s="1">
        <f t="shared" si="35"/>
        <v>0</v>
      </c>
      <c r="BO43" s="8">
        <f t="shared" si="36"/>
        <v>0</v>
      </c>
      <c r="BQ43" s="1">
        <f t="shared" si="37"/>
        <v>0</v>
      </c>
      <c r="BR43" s="8">
        <f t="shared" si="38"/>
        <v>0</v>
      </c>
      <c r="BT43" s="1">
        <f t="shared" si="39"/>
        <v>0</v>
      </c>
      <c r="BU43" s="8">
        <f t="shared" si="40"/>
        <v>0</v>
      </c>
    </row>
    <row r="44" spans="5:73" x14ac:dyDescent="0.25">
      <c r="E44" s="32">
        <v>0.93301000000000001</v>
      </c>
      <c r="F44" s="35">
        <v>-0.25</v>
      </c>
      <c r="G44" s="34">
        <f t="shared" si="0"/>
        <v>0.43240000000000001</v>
      </c>
      <c r="H44" s="8">
        <f t="shared" si="41"/>
        <v>-0.26744000000000001</v>
      </c>
      <c r="I44" s="26"/>
      <c r="J44" s="46">
        <v>0.7</v>
      </c>
      <c r="K44" s="47">
        <v>-3.9100000000000003E-2</v>
      </c>
      <c r="L44" s="1">
        <f t="shared" si="1"/>
        <v>0.19999999999999996</v>
      </c>
      <c r="M44" s="8">
        <f t="shared" si="2"/>
        <v>-3.9900000000000005E-2</v>
      </c>
      <c r="O44" s="1">
        <f t="shared" si="42"/>
        <v>26.993971271895887</v>
      </c>
      <c r="P44" s="8">
        <f t="shared" si="43"/>
        <v>5.3073347830697539</v>
      </c>
      <c r="R44" s="1">
        <f t="shared" si="3"/>
        <v>18.173566598519727</v>
      </c>
      <c r="S44" s="8">
        <f t="shared" si="4"/>
        <v>6.8663545097121297</v>
      </c>
      <c r="U44" s="1">
        <f t="shared" si="5"/>
        <v>18.439482990197316</v>
      </c>
      <c r="V44" s="8">
        <f t="shared" si="6"/>
        <v>3.8144771478293973</v>
      </c>
      <c r="X44" s="1">
        <f t="shared" si="7"/>
        <v>16.700905616910578</v>
      </c>
      <c r="Y44" s="8">
        <f t="shared" si="8"/>
        <v>1.7516864242782191</v>
      </c>
      <c r="AA44" s="1">
        <f t="shared" si="9"/>
        <v>14.299276430671238</v>
      </c>
      <c r="AB44" s="8">
        <f t="shared" si="10"/>
        <v>0.4537737205645187</v>
      </c>
      <c r="AD44" s="1">
        <f t="shared" si="11"/>
        <v>11.813712693296898</v>
      </c>
      <c r="AE44" s="8">
        <f t="shared" si="12"/>
        <v>-0.33254227138923026</v>
      </c>
      <c r="AG44" s="1">
        <f t="shared" si="13"/>
        <v>11.364753488973513</v>
      </c>
      <c r="AH44" s="8">
        <f t="shared" si="14"/>
        <v>-0.54636217594680181</v>
      </c>
      <c r="AJ44" s="1">
        <f t="shared" si="15"/>
        <v>10.349036821988832</v>
      </c>
      <c r="AK44" s="8">
        <f t="shared" si="16"/>
        <v>-0.88402020144805138</v>
      </c>
      <c r="AM44" s="1">
        <f t="shared" si="17"/>
        <v>9.5186755307483484</v>
      </c>
      <c r="AN44" s="8">
        <f t="shared" si="18"/>
        <v>-1.1101684107078769</v>
      </c>
      <c r="AP44" s="1">
        <f t="shared" si="19"/>
        <v>9.1232764299074063</v>
      </c>
      <c r="AQ44" s="8">
        <f t="shared" si="20"/>
        <v>-1.2306591578873212</v>
      </c>
      <c r="AS44" s="1">
        <f t="shared" si="21"/>
        <v>8.5072539419473081</v>
      </c>
      <c r="AT44" s="8">
        <f t="shared" si="22"/>
        <v>-1.2748155864853457</v>
      </c>
      <c r="AV44" s="1">
        <f t="shared" si="23"/>
        <v>8.3883790730022998</v>
      </c>
      <c r="AW44" s="8">
        <f t="shared" si="24"/>
        <v>-1.3619842217536957</v>
      </c>
      <c r="AY44" s="1">
        <f t="shared" si="25"/>
        <v>8.373909629830667</v>
      </c>
      <c r="AZ44" s="8">
        <f t="shared" si="26"/>
        <v>-1.4482893371554471</v>
      </c>
      <c r="BB44" s="1">
        <f t="shared" si="27"/>
        <v>8.373909629830667</v>
      </c>
      <c r="BC44" s="8">
        <f t="shared" si="28"/>
        <v>-1.4482893371554471</v>
      </c>
      <c r="BE44" s="1">
        <f t="shared" si="29"/>
        <v>8.3625407554918105</v>
      </c>
      <c r="BF44" s="8">
        <f t="shared" si="30"/>
        <v>-1.5125530091297328</v>
      </c>
      <c r="BH44" s="1">
        <f t="shared" si="31"/>
        <v>8.3625407554918105</v>
      </c>
      <c r="BI44" s="8">
        <f t="shared" si="32"/>
        <v>-1.5125530091297328</v>
      </c>
      <c r="BK44" s="1">
        <f t="shared" si="33"/>
        <v>0</v>
      </c>
      <c r="BL44" s="8">
        <f t="shared" si="34"/>
        <v>0</v>
      </c>
      <c r="BN44" s="1">
        <f t="shared" si="35"/>
        <v>0</v>
      </c>
      <c r="BO44" s="8">
        <f t="shared" si="36"/>
        <v>0</v>
      </c>
      <c r="BQ44" s="1">
        <f t="shared" si="37"/>
        <v>0</v>
      </c>
      <c r="BR44" s="8">
        <f t="shared" si="38"/>
        <v>0</v>
      </c>
      <c r="BT44" s="1">
        <f t="shared" si="39"/>
        <v>0</v>
      </c>
      <c r="BU44" s="8">
        <f t="shared" si="40"/>
        <v>0</v>
      </c>
    </row>
    <row r="45" spans="5:73" x14ac:dyDescent="0.25">
      <c r="E45" s="32">
        <v>0.97275999999999996</v>
      </c>
      <c r="F45" s="35">
        <v>-0.16278000000000001</v>
      </c>
      <c r="G45" s="34">
        <f t="shared" si="0"/>
        <v>0.47214999999999996</v>
      </c>
      <c r="H45" s="8">
        <f t="shared" si="41"/>
        <v>-0.18022000000000002</v>
      </c>
      <c r="I45" s="26"/>
      <c r="J45" s="46">
        <v>0.8</v>
      </c>
      <c r="K45" s="47">
        <v>-2.8299999999999999E-2</v>
      </c>
      <c r="L45" s="1">
        <f t="shared" si="1"/>
        <v>0.30000000000000004</v>
      </c>
      <c r="M45" s="8">
        <f t="shared" si="2"/>
        <v>-2.9099999999999997E-2</v>
      </c>
      <c r="O45" s="1">
        <f t="shared" si="42"/>
        <v>25.360369226372796</v>
      </c>
      <c r="P45" s="8">
        <f t="shared" si="43"/>
        <v>10.229837560375691</v>
      </c>
      <c r="R45" s="1">
        <f t="shared" si="3"/>
        <v>25.708953765839386</v>
      </c>
      <c r="S45" s="8">
        <f t="shared" si="4"/>
        <v>12.784214100768541</v>
      </c>
      <c r="U45" s="1">
        <f t="shared" si="5"/>
        <v>26.551249729401796</v>
      </c>
      <c r="V45" s="8">
        <f t="shared" si="6"/>
        <v>8.3357452676860468</v>
      </c>
      <c r="X45" s="1">
        <f t="shared" si="7"/>
        <v>24.299684482862517</v>
      </c>
      <c r="Y45" s="8">
        <f t="shared" si="8"/>
        <v>5.0453349234879141</v>
      </c>
      <c r="AA45" s="1">
        <f t="shared" si="9"/>
        <v>20.960002277593478</v>
      </c>
      <c r="AB45" s="8">
        <f t="shared" si="10"/>
        <v>2.7816363145640142</v>
      </c>
      <c r="AD45" s="1">
        <f t="shared" si="11"/>
        <v>17.421247019269277</v>
      </c>
      <c r="AE45" s="8">
        <f t="shared" si="12"/>
        <v>1.2578301763856776</v>
      </c>
      <c r="AG45" s="1">
        <f t="shared" si="13"/>
        <v>16.79266855218096</v>
      </c>
      <c r="AH45" s="8">
        <f t="shared" si="14"/>
        <v>0.87702247959425361</v>
      </c>
      <c r="AJ45" s="1">
        <f t="shared" si="15"/>
        <v>15.348984016927258</v>
      </c>
      <c r="AK45" s="8">
        <f t="shared" si="16"/>
        <v>0.23030715160553641</v>
      </c>
      <c r="AM45" s="1">
        <f t="shared" si="17"/>
        <v>14.161376344705415</v>
      </c>
      <c r="AN45" s="8">
        <f t="shared" si="18"/>
        <v>-0.22502532501696929</v>
      </c>
      <c r="AP45" s="1">
        <f t="shared" si="19"/>
        <v>13.597757950275854</v>
      </c>
      <c r="AQ45" s="8">
        <f t="shared" si="20"/>
        <v>-0.4606727463024764</v>
      </c>
      <c r="AS45" s="1">
        <f t="shared" si="21"/>
        <v>12.698425487327471</v>
      </c>
      <c r="AT45" s="8">
        <f t="shared" si="22"/>
        <v>-0.61669294355952098</v>
      </c>
      <c r="AV45" s="1">
        <f t="shared" si="23"/>
        <v>12.536509065125628</v>
      </c>
      <c r="AW45" s="8">
        <f t="shared" si="24"/>
        <v>-0.76245192925981597</v>
      </c>
      <c r="AY45" s="1">
        <f t="shared" si="25"/>
        <v>12.527993235850982</v>
      </c>
      <c r="AZ45" s="8">
        <f t="shared" si="26"/>
        <v>-0.89150320632126157</v>
      </c>
      <c r="BB45" s="1">
        <f t="shared" si="27"/>
        <v>12.527993235850982</v>
      </c>
      <c r="BC45" s="8">
        <f t="shared" si="28"/>
        <v>-0.89150320632126157</v>
      </c>
      <c r="BE45" s="1">
        <f t="shared" si="29"/>
        <v>12.520777639297805</v>
      </c>
      <c r="BF45" s="8">
        <f t="shared" si="30"/>
        <v>-0.98768405457874553</v>
      </c>
      <c r="BH45" s="1">
        <f t="shared" si="31"/>
        <v>12.520777639297805</v>
      </c>
      <c r="BI45" s="8">
        <f t="shared" si="32"/>
        <v>-0.98768405457874553</v>
      </c>
      <c r="BK45" s="1">
        <f t="shared" si="33"/>
        <v>0</v>
      </c>
      <c r="BL45" s="8">
        <f t="shared" si="34"/>
        <v>0</v>
      </c>
      <c r="BN45" s="1">
        <f t="shared" si="35"/>
        <v>0</v>
      </c>
      <c r="BO45" s="8">
        <f t="shared" si="36"/>
        <v>0</v>
      </c>
      <c r="BQ45" s="1">
        <f t="shared" si="37"/>
        <v>0</v>
      </c>
      <c r="BR45" s="8">
        <f t="shared" si="38"/>
        <v>0</v>
      </c>
      <c r="BT45" s="1">
        <f t="shared" si="39"/>
        <v>0</v>
      </c>
      <c r="BU45" s="8">
        <f t="shared" si="40"/>
        <v>0</v>
      </c>
    </row>
    <row r="46" spans="5:73" ht="16.5" thickBot="1" x14ac:dyDescent="0.3">
      <c r="E46" s="33">
        <v>0.99512999999999996</v>
      </c>
      <c r="F46" s="36">
        <v>-6.9589999999999999E-2</v>
      </c>
      <c r="G46" s="27">
        <f t="shared" si="0"/>
        <v>0.49451999999999996</v>
      </c>
      <c r="H46" s="9">
        <f t="shared" si="41"/>
        <v>-8.7029999999999996E-2</v>
      </c>
      <c r="I46" s="26"/>
      <c r="J46" s="46">
        <v>0.9</v>
      </c>
      <c r="K46" s="47">
        <v>-1.5900000000000001E-2</v>
      </c>
      <c r="L46" s="1">
        <f t="shared" si="1"/>
        <v>0.4</v>
      </c>
      <c r="M46" s="8">
        <f t="shared" si="2"/>
        <v>-1.67E-2</v>
      </c>
      <c r="O46" s="2">
        <f t="shared" si="42"/>
        <v>22.817681222932215</v>
      </c>
      <c r="P46" s="9">
        <f t="shared" si="43"/>
        <v>14.749441589712179</v>
      </c>
      <c r="R46" s="1">
        <f t="shared" si="3"/>
        <v>33.163617882391421</v>
      </c>
      <c r="S46" s="8">
        <f t="shared" si="4"/>
        <v>18.831357975984961</v>
      </c>
      <c r="U46" s="1">
        <f t="shared" si="5"/>
        <v>34.605365749600388</v>
      </c>
      <c r="V46" s="8">
        <f t="shared" si="6"/>
        <v>12.993027933022599</v>
      </c>
      <c r="X46" s="1">
        <f t="shared" si="7"/>
        <v>31.859351859123219</v>
      </c>
      <c r="Y46" s="8">
        <f t="shared" si="8"/>
        <v>8.464787925439488</v>
      </c>
      <c r="AA46" s="1">
        <f t="shared" si="9"/>
        <v>27.595288781769007</v>
      </c>
      <c r="AB46" s="8">
        <f t="shared" si="10"/>
        <v>5.2188179711309068</v>
      </c>
      <c r="AD46" s="1">
        <f t="shared" si="11"/>
        <v>23.013206866117045</v>
      </c>
      <c r="AE46" s="8">
        <f t="shared" si="12"/>
        <v>2.9396052171215992</v>
      </c>
      <c r="AG46" s="1">
        <f t="shared" si="13"/>
        <v>22.207343332785253</v>
      </c>
      <c r="AH46" s="8">
        <f t="shared" si="14"/>
        <v>2.3886837266677667</v>
      </c>
      <c r="AJ46" s="1">
        <f t="shared" si="15"/>
        <v>20.33984783151805</v>
      </c>
      <c r="AK46" s="8">
        <f t="shared" si="16"/>
        <v>1.4256146648556816</v>
      </c>
      <c r="AM46" s="1">
        <f t="shared" si="17"/>
        <v>18.798008244117199</v>
      </c>
      <c r="AN46" s="8">
        <f t="shared" si="18"/>
        <v>0.73505641646814079</v>
      </c>
      <c r="AP46" s="1">
        <f t="shared" si="19"/>
        <v>18.067704488161809</v>
      </c>
      <c r="AQ46" s="8">
        <f t="shared" si="20"/>
        <v>0.38139514771637095</v>
      </c>
      <c r="AS46" s="1">
        <f t="shared" si="21"/>
        <v>16.886347319506022</v>
      </c>
      <c r="AT46" s="8">
        <f t="shared" si="22"/>
        <v>0.10883941311816002</v>
      </c>
      <c r="AV46" s="1">
        <f t="shared" si="23"/>
        <v>16.68224246306994</v>
      </c>
      <c r="AW46" s="8">
        <f t="shared" si="24"/>
        <v>-9.6290724720630605E-2</v>
      </c>
      <c r="AY46" s="1">
        <f t="shared" si="25"/>
        <v>16.680366470026346</v>
      </c>
      <c r="AZ46" s="8">
        <f t="shared" si="26"/>
        <v>-0.26806701763149809</v>
      </c>
      <c r="BB46" s="1">
        <f t="shared" si="27"/>
        <v>16.680366470026346</v>
      </c>
      <c r="BC46" s="8">
        <f t="shared" si="28"/>
        <v>-0.26806701763149809</v>
      </c>
      <c r="BE46" s="1">
        <f t="shared" si="29"/>
        <v>16.677816032362209</v>
      </c>
      <c r="BF46" s="8">
        <f t="shared" si="30"/>
        <v>-0.39615387288677129</v>
      </c>
      <c r="BH46" s="1">
        <f t="shared" si="31"/>
        <v>16.677816032362209</v>
      </c>
      <c r="BI46" s="8">
        <f t="shared" si="32"/>
        <v>-0.39615387288677129</v>
      </c>
      <c r="BK46" s="1">
        <f t="shared" si="33"/>
        <v>0</v>
      </c>
      <c r="BL46" s="8">
        <f t="shared" si="34"/>
        <v>0</v>
      </c>
      <c r="BN46" s="1">
        <f t="shared" si="35"/>
        <v>0</v>
      </c>
      <c r="BO46" s="8">
        <f t="shared" si="36"/>
        <v>0</v>
      </c>
      <c r="BQ46" s="1">
        <f t="shared" si="37"/>
        <v>0</v>
      </c>
      <c r="BR46" s="8">
        <f t="shared" si="38"/>
        <v>0</v>
      </c>
      <c r="BT46" s="1">
        <f t="shared" si="39"/>
        <v>0</v>
      </c>
      <c r="BU46" s="8">
        <f t="shared" si="40"/>
        <v>0</v>
      </c>
    </row>
    <row r="47" spans="5:73" x14ac:dyDescent="0.25">
      <c r="J47" s="46">
        <v>0.95</v>
      </c>
      <c r="K47" s="47">
        <v>-8.9999999999999993E-3</v>
      </c>
      <c r="L47" s="1">
        <f t="shared" si="1"/>
        <v>0.44999999999999996</v>
      </c>
      <c r="M47" s="8">
        <f t="shared" si="2"/>
        <v>-9.7999999999999997E-3</v>
      </c>
      <c r="R47" s="1">
        <f t="shared" si="3"/>
        <v>36.855633605956605</v>
      </c>
      <c r="S47" s="8">
        <f t="shared" si="4"/>
        <v>21.911491787913175</v>
      </c>
      <c r="U47" s="1">
        <f t="shared" si="5"/>
        <v>38.607201570134599</v>
      </c>
      <c r="V47" s="8">
        <f t="shared" si="6"/>
        <v>15.381175629338333</v>
      </c>
      <c r="X47" s="1">
        <f t="shared" si="7"/>
        <v>35.622074270513643</v>
      </c>
      <c r="Y47" s="8">
        <f t="shared" si="8"/>
        <v>10.22955389636485</v>
      </c>
      <c r="AA47" s="1">
        <f t="shared" si="9"/>
        <v>30.901802321405079</v>
      </c>
      <c r="AB47" s="8">
        <f t="shared" si="10"/>
        <v>6.4852358892875914</v>
      </c>
      <c r="AD47" s="1">
        <f t="shared" si="11"/>
        <v>25.802372954923904</v>
      </c>
      <c r="AE47" s="8">
        <f t="shared" si="12"/>
        <v>3.8204813719100046</v>
      </c>
      <c r="AG47" s="1">
        <f t="shared" si="13"/>
        <v>24.908888099448518</v>
      </c>
      <c r="AH47" s="8">
        <f t="shared" si="14"/>
        <v>3.1831353589999738</v>
      </c>
      <c r="AJ47" s="1">
        <f t="shared" si="15"/>
        <v>22.831305759911356</v>
      </c>
      <c r="AK47" s="8">
        <f t="shared" si="16"/>
        <v>2.0586972415667488</v>
      </c>
      <c r="AM47" s="1">
        <f t="shared" si="17"/>
        <v>21.113669043709528</v>
      </c>
      <c r="AN47" s="8">
        <f t="shared" si="18"/>
        <v>1.2478829491206593</v>
      </c>
      <c r="AP47" s="1">
        <f t="shared" si="19"/>
        <v>20.300693702268699</v>
      </c>
      <c r="AQ47" s="8">
        <f t="shared" si="20"/>
        <v>0.83396474329067105</v>
      </c>
      <c r="AS47" s="1">
        <f t="shared" si="21"/>
        <v>18.978886486069587</v>
      </c>
      <c r="AT47" s="8">
        <f t="shared" si="22"/>
        <v>0.50109734122343752</v>
      </c>
      <c r="AV47" s="1">
        <f t="shared" si="23"/>
        <v>18.754060652088778</v>
      </c>
      <c r="AW47" s="8">
        <f t="shared" si="24"/>
        <v>0.26594002656878346</v>
      </c>
      <c r="AY47" s="1">
        <f t="shared" si="25"/>
        <v>18.755804799431861</v>
      </c>
      <c r="AZ47" s="8">
        <f t="shared" si="26"/>
        <v>7.2810477025199466E-2</v>
      </c>
      <c r="BB47" s="1">
        <f t="shared" si="27"/>
        <v>18.755804799431861</v>
      </c>
      <c r="BC47" s="8">
        <f t="shared" si="28"/>
        <v>7.2810477025199466E-2</v>
      </c>
      <c r="BE47" s="1">
        <f t="shared" si="29"/>
        <v>18.755810889194958</v>
      </c>
      <c r="BF47" s="8">
        <f t="shared" si="30"/>
        <v>-7.1224495166602203E-2</v>
      </c>
      <c r="BH47" s="1">
        <f t="shared" si="31"/>
        <v>18.755810889194958</v>
      </c>
      <c r="BI47" s="8">
        <f t="shared" si="32"/>
        <v>-7.1224495166602203E-2</v>
      </c>
      <c r="BK47" s="1">
        <f t="shared" si="33"/>
        <v>0</v>
      </c>
      <c r="BL47" s="8">
        <f t="shared" si="34"/>
        <v>0</v>
      </c>
      <c r="BN47" s="1">
        <f t="shared" si="35"/>
        <v>0</v>
      </c>
      <c r="BO47" s="8">
        <f t="shared" si="36"/>
        <v>0</v>
      </c>
      <c r="BQ47" s="1">
        <f t="shared" si="37"/>
        <v>0</v>
      </c>
      <c r="BR47" s="8">
        <f t="shared" si="38"/>
        <v>0</v>
      </c>
      <c r="BT47" s="1">
        <f t="shared" si="39"/>
        <v>0</v>
      </c>
      <c r="BU47" s="8">
        <f t="shared" si="40"/>
        <v>0</v>
      </c>
    </row>
    <row r="48" spans="5:73" ht="16.5" thickBot="1" x14ac:dyDescent="0.3">
      <c r="J48" s="48">
        <v>1</v>
      </c>
      <c r="K48" s="49">
        <v>-1.6000000000000001E-3</v>
      </c>
      <c r="L48" s="2">
        <f t="shared" si="1"/>
        <v>0.5</v>
      </c>
      <c r="M48" s="9">
        <f t="shared" si="2"/>
        <v>-2.4000000000000002E-3</v>
      </c>
      <c r="R48" s="2">
        <f>(L48*COS(RADIANS($C$15))-M48*SIN(RADIANS($C$15)))*$B$15*1000</f>
        <v>40.522423376156908</v>
      </c>
      <c r="S48" s="9">
        <f>(L48*SIN(RADIANS($C$15))+M48*COS(RADIANS($C$15)))*$B$15*1000</f>
        <v>25.032026938641401</v>
      </c>
      <c r="U48" s="2">
        <f>(L48*COS(RADIANS($C$16))-M48*SIN(RADIANS($C$16)))*$B$16*1000</f>
        <v>42.591021540979504</v>
      </c>
      <c r="V48" s="9">
        <f>(L48*SIN(RADIANS($C$16))+M48*COS(RADIANS($C$16)))*$B$16*1000</f>
        <v>17.811827871116538</v>
      </c>
      <c r="X48" s="2">
        <f>(L48*COS(RADIANS($C$17))-M48*SIN(RADIANS($C$17)))*$B$17*1000</f>
        <v>39.372574341375575</v>
      </c>
      <c r="Y48" s="9">
        <f>(L48*SIN(RADIANS($C$17))+M48*COS(RADIANS($C$17)))*$B$17*1000</f>
        <v>12.033633774397051</v>
      </c>
      <c r="AA48" s="2">
        <f>(L48*COS(RADIANS($C$18))-M48*SIN(RADIANS($C$18)))*$B$18*1000</f>
        <v>34.200366066432807</v>
      </c>
      <c r="AB48" s="9">
        <f>(L48*SIN(RADIANS($C$18))+M48*COS(RADIANS($C$18)))*$B$18*1000</f>
        <v>7.7858160144965893</v>
      </c>
      <c r="AD48" s="2">
        <f>(L48*COS(RADIANS($C$19))-M48*SIN(RADIANS($C$19)))*$B$19*1000</f>
        <v>28.586672019004332</v>
      </c>
      <c r="AE48" s="9">
        <f>(L48*SIN(RADIANS($C$19))+M48*COS(RADIANS($C$19)))*$B$19*1000</f>
        <v>4.729920836998728</v>
      </c>
      <c r="AG48" s="2">
        <f>(L48*COS(RADIANS($C$20))-M48*SIN(RADIANS($C$20)))*$B$20*1000</f>
        <v>27.606295277798306</v>
      </c>
      <c r="AH48" s="9">
        <f>(L48*SIN(RADIANS($C$20))+M48*COS(RADIANS($C$20)))*$B$20*1000</f>
        <v>4.0051734261860759</v>
      </c>
      <c r="AJ48" s="2">
        <f>(L48*COS(RADIANS($C$21))-M48*SIN(RADIANS($C$21)))*$B$21*1000</f>
        <v>25.319925131946029</v>
      </c>
      <c r="AK48" s="9">
        <f>(L48*SIN(RADIANS($C$21))+M48*COS(RADIANS($C$21)))*$B$21*1000</f>
        <v>2.7170861183392403</v>
      </c>
      <c r="AM48" s="2">
        <f>(L48*COS(RADIANS($C$22))-M48*SIN(RADIANS($C$22)))*$B$22*1000</f>
        <v>23.427433307506458</v>
      </c>
      <c r="AN48" s="9">
        <f>(L48*SIN(RADIANS($C$22))+M48*COS(RADIANS($C$22)))*$B$22*1000</f>
        <v>1.7841278117088673</v>
      </c>
      <c r="AP48" s="2">
        <f>(L48*COS(RADIANS($C$23))-M48*SIN(RADIANS($C$23)))*$B$23*1000</f>
        <v>22.532265734349817</v>
      </c>
      <c r="AQ48" s="9">
        <f>(L48*SIN(RADIANS($C$23))+M48*COS(RADIANS($C$23)))*$B$23*1000</f>
        <v>1.3090598021255977</v>
      </c>
      <c r="AS48" s="2">
        <f>(L48*COS(RADIANS($C$24))-M48*SIN(RADIANS($C$24)))*$B$24*1000</f>
        <v>21.070410117257651</v>
      </c>
      <c r="AT48" s="9">
        <f>(L48*SIN(RADIANS($C$24))+M48*COS(RADIANS($C$24)))*$B$24*1000</f>
        <v>0.91442080487617083</v>
      </c>
      <c r="AV48" s="2">
        <f>(L48*COS(RADIANS($C$25))-M48*SIN(RADIANS($C$25)))*$B$25*1000</f>
        <v>20.825129905426678</v>
      </c>
      <c r="AW48" s="9">
        <f>(L48*SIN(RADIANS($C$25))+M48*COS(RADIANS($C$25)))*$B$25*1000</f>
        <v>0.64899231287235581</v>
      </c>
      <c r="AY48" s="2">
        <f>(L48*COS(RADIANS($C$26))-M48*SIN(RADIANS($C$26)))*$B$26*1000</f>
        <v>20.830708637635837</v>
      </c>
      <c r="AZ48" s="9">
        <f>(L48*SIN(RADIANS($C$26))+M48*COS(RADIANS($C$26)))*$B$26*1000</f>
        <v>0.43451611476176544</v>
      </c>
      <c r="BB48" s="2">
        <f>(L48*COS(RADIANS($C$27))-M48*SIN(RADIANS($C$27)))*$B$27*1000</f>
        <v>20.830708637635837</v>
      </c>
      <c r="BC48" s="9">
        <f>(L48*SIN(RADIANS($C$27))+M48*COS(RADIANS($C$27)))*$B$27*1000</f>
        <v>0.43451611476176544</v>
      </c>
      <c r="BE48" s="2">
        <f>(L48*COS(RADIANS($C$28))-M48*SIN(RADIANS($C$28)))*$B$28*1000</f>
        <v>20.833431217670967</v>
      </c>
      <c r="BF48" s="9">
        <f>(L48*SIN(RADIANS($C$28))+M48*COS(RADIANS($C$28)))*$B$28*1000</f>
        <v>0.27453651603512552</v>
      </c>
      <c r="BH48" s="2">
        <f>(L48*COS(RADIANS($C$29))-M48*SIN(RADIANS($C$29)))*$B$29*1000</f>
        <v>20.833431217670967</v>
      </c>
      <c r="BI48" s="9">
        <f>(L48*SIN(RADIANS($C$29))+M48*COS(RADIANS($C$29)))*$B$29*1000</f>
        <v>0.27453651603512552</v>
      </c>
      <c r="BK48" s="2">
        <f>(L48*COS(RADIANS($C$30))-M48*SIN(RADIANS($C$30)))*$B$30*1000</f>
        <v>0</v>
      </c>
      <c r="BL48" s="9">
        <f>(L48*SIN(RADIANS($C$30))+M48*COS(RADIANS($C$30)))*$B$30*1000</f>
        <v>0</v>
      </c>
      <c r="BN48" s="2">
        <f>(L48*COS(RADIANS($C$31))-M48*SIN(RADIANS($C$31)))*$B$31*1000</f>
        <v>0</v>
      </c>
      <c r="BO48" s="9">
        <f>(L48*SIN(RADIANS($C$31))+M48*COS(RADIANS($C$31)))*$B$31*1000</f>
        <v>0</v>
      </c>
      <c r="BQ48" s="2">
        <f>(L48*COS(RADIANS($C$32))-M48*SIN(RADIANS($C$32)))*$B$32*1000</f>
        <v>0</v>
      </c>
      <c r="BR48" s="9">
        <f>(L48*SIN(RADIANS($C$32))+M48*COS(RADIANS($C$32)))*$B$32*1000</f>
        <v>0</v>
      </c>
      <c r="BT48" s="2">
        <f>(L48*COS(RADIANS($C$33))-M48*SIN(RADIANS($C$33)))*$B$33*1000</f>
        <v>0</v>
      </c>
      <c r="BU48" s="9">
        <f>(L48*SIN(RADIANS($C$33))+M48*COS(RADIANS($C$33)))*$B$33*1000</f>
        <v>0</v>
      </c>
    </row>
    <row r="102" spans="5:9" x14ac:dyDescent="0.25">
      <c r="E102" s="26"/>
      <c r="F102" s="26"/>
      <c r="G102" s="26"/>
      <c r="H102" s="26"/>
      <c r="I102" s="26"/>
    </row>
  </sheetData>
  <mergeCells count="20">
    <mergeCell ref="BH12:BI12"/>
    <mergeCell ref="BK12:BL12"/>
    <mergeCell ref="BN12:BO12"/>
    <mergeCell ref="BQ12:BR12"/>
    <mergeCell ref="BT12:BU12"/>
    <mergeCell ref="AV12:AW12"/>
    <mergeCell ref="AY12:AZ12"/>
    <mergeCell ref="BB12:BC12"/>
    <mergeCell ref="BE12:BF12"/>
    <mergeCell ref="O12:P12"/>
    <mergeCell ref="R12:S12"/>
    <mergeCell ref="AS12:AT12"/>
    <mergeCell ref="U12:V12"/>
    <mergeCell ref="X12:Y12"/>
    <mergeCell ref="AA12:AB12"/>
    <mergeCell ref="AJ12:AK12"/>
    <mergeCell ref="AM12:AN12"/>
    <mergeCell ref="AP12:AQ12"/>
    <mergeCell ref="AD12:AE12"/>
    <mergeCell ref="AG12:AH1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0789-4F08-4D65-B3A7-6C08D2FB6BF3}">
  <dimension ref="A1:T38"/>
  <sheetViews>
    <sheetView topLeftCell="K3" zoomScale="85" zoomScaleNormal="85" workbookViewId="0">
      <selection activeCell="R21" sqref="R21"/>
    </sheetView>
  </sheetViews>
  <sheetFormatPr defaultColWidth="8.625" defaultRowHeight="15.75" x14ac:dyDescent="0.25"/>
  <cols>
    <col min="1" max="1" width="38.375" customWidth="1"/>
    <col min="2" max="2" width="38.375" bestFit="1" customWidth="1"/>
    <col min="3" max="4" width="42.125" bestFit="1" customWidth="1"/>
    <col min="5" max="5" width="42.625" bestFit="1" customWidth="1"/>
    <col min="6" max="6" width="41.625" bestFit="1" customWidth="1"/>
    <col min="7" max="8" width="42.125" bestFit="1" customWidth="1"/>
    <col min="9" max="10" width="41.625" bestFit="1" customWidth="1"/>
    <col min="11" max="11" width="40" bestFit="1" customWidth="1"/>
    <col min="12" max="13" width="44.875" bestFit="1" customWidth="1"/>
    <col min="14" max="14" width="41" bestFit="1" customWidth="1"/>
    <col min="15" max="15" width="44.875" bestFit="1" customWidth="1"/>
    <col min="16" max="16" width="41" bestFit="1" customWidth="1"/>
    <col min="17" max="20" width="10" bestFit="1" customWidth="1"/>
  </cols>
  <sheetData>
    <row r="1" spans="1:20" x14ac:dyDescent="0.25">
      <c r="A1" s="68" t="s">
        <v>73</v>
      </c>
      <c r="B1" s="68"/>
    </row>
    <row r="2" spans="1:20" ht="16.5" thickBot="1" x14ac:dyDescent="0.3"/>
    <row r="3" spans="1:20" ht="16.5" thickBot="1" x14ac:dyDescent="0.3">
      <c r="A3" s="7" t="s">
        <v>74</v>
      </c>
      <c r="B3" s="7" t="s">
        <v>12</v>
      </c>
      <c r="C3" s="7" t="s">
        <v>13</v>
      </c>
      <c r="D3" s="7" t="s">
        <v>14</v>
      </c>
      <c r="E3" s="14" t="s">
        <v>15</v>
      </c>
      <c r="F3" s="14" t="s">
        <v>16</v>
      </c>
      <c r="G3" s="7" t="s">
        <v>17</v>
      </c>
      <c r="H3" s="7" t="s">
        <v>18</v>
      </c>
      <c r="I3" s="17" t="s">
        <v>19</v>
      </c>
      <c r="J3" s="7" t="s">
        <v>20</v>
      </c>
      <c r="K3" s="7" t="s">
        <v>21</v>
      </c>
      <c r="L3" s="54" t="s">
        <v>22</v>
      </c>
      <c r="M3" s="54" t="s">
        <v>23</v>
      </c>
      <c r="N3" s="54" t="s">
        <v>24</v>
      </c>
      <c r="O3" s="54" t="s">
        <v>25</v>
      </c>
      <c r="P3" s="54" t="s">
        <v>26</v>
      </c>
      <c r="Q3" s="54" t="s">
        <v>27</v>
      </c>
      <c r="R3" s="54" t="s">
        <v>28</v>
      </c>
      <c r="S3" s="54" t="s">
        <v>75</v>
      </c>
      <c r="T3" s="54" t="s">
        <v>76</v>
      </c>
    </row>
    <row r="4" spans="1:20" x14ac:dyDescent="0.25">
      <c r="A4" s="4" t="str">
        <f>CONCATENATE('1-Blade sections'!O14,",",'1-Blade sections'!P14,",",'1-Blade sections'!$A$14*1000)</f>
        <v>20.4495047389541,17.6888774415385,30</v>
      </c>
      <c r="B4" s="4" t="str">
        <f>CONCATENATE('1-Blade sections'!R14,",",'1-Blade sections'!S14,",",'1-Blade sections'!$A$15*1000)</f>
        <v>40.3609772746217,25.2905955069614,45</v>
      </c>
      <c r="C4" s="4" t="str">
        <f>CONCATENATE('1-Blade sections'!U14,",",'1-Blade sections'!V14,",",'1-Blade sections'!$A$16*1000)</f>
        <v>42.4757201029677,18.0838569620764,75.015</v>
      </c>
      <c r="D4" s="4" t="str">
        <f>CONCATENATE('1-Blade sections'!X14,",",'1-Blade sections'!Y14,",",'1-Blade sections'!$A$17*1000)</f>
        <v>39.2943513619931,12.2852427798808,104.985</v>
      </c>
      <c r="E4" s="11" t="str">
        <f>CONCATENATE('1-Blade sections'!AA14,",",'1-Blade sections'!AB14,",",'1-Blade sections'!$A$18*1000)</f>
        <v>34.1494873809394,8.00445413963139,135</v>
      </c>
      <c r="F4" s="11" t="str">
        <f>CONCATENATE('1-Blade sections'!AD14,",",'1-Blade sections'!AE14,",",'1-Blade sections'!$A$19*1000)</f>
        <v>28.5555230607551,4.91272602292076,165.015</v>
      </c>
      <c r="G4" s="4" t="str">
        <f>CONCATENATE('1-Blade sections'!AG14,",",'1-Blade sections'!AH14,",",'1-Blade sections'!$A$20*1000)</f>
        <v>27.579814712592,4.181726609251,194.985</v>
      </c>
      <c r="H4" s="4" t="str">
        <f>CONCATENATE('1-Blade sections'!AJ14,",",'1-Blade sections'!AK14,",",'1-Blade sections'!$A$21*1000)</f>
        <v>25.3017583712508,2.87904643873236,225</v>
      </c>
      <c r="I4" s="18" t="str">
        <f>CONCATENATE('1-Blade sections'!AM14,",",'1-Blade sections'!AN14,",",'1-Blade sections'!$A$22*1000)</f>
        <v>23.4152954784159,1.93400512329727,255.015</v>
      </c>
      <c r="J4" s="4" t="str">
        <f>CONCATENATE('1-Blade sections'!AP14,",",'1-Blade sections'!AQ14,",",'1-Blade sections'!$A$23*1000)</f>
        <v>22.5231957693848,1.4532227669936,284.985</v>
      </c>
      <c r="K4" s="19" t="str">
        <f>CONCATENATE('1-Blade sections'!AS14,",",'1-Blade sections'!AT14,",",'1-Blade sections'!$A$24*1000)</f>
        <v>21.0639106908544,1.04924023237988,315</v>
      </c>
      <c r="L4" s="55" t="str">
        <f>CONCATENATE('1-Blade sections'!AV14,",",'1-Blade sections'!AW14,",",'1-Blade sections'!$A$25*1000)</f>
        <v>20.8203367170687,0.782250136962968,345.015</v>
      </c>
      <c r="M4" s="55" t="str">
        <f>CONCATENATE('1-Blade sections'!AY14,",",'1-Blade sections'!AZ14,",",'1-Blade sections'!$A$26*1000)</f>
        <v>20.8272878939459,0.567816230472923,374.985</v>
      </c>
      <c r="N4" s="55" t="str">
        <f>CONCATENATE('1-Blade sections'!BB14,",",'1-Blade sections'!BC14,",",'1-Blade sections'!$A$27*1000)</f>
        <v>20.8272878939459,0.567816230472923,405</v>
      </c>
      <c r="O4" s="55" t="str">
        <f>CONCATENATE('1-Blade sections'!BE14,",",'1-Blade sections'!BF14,",",'1-Blade sections'!$A$28*1000)</f>
        <v>20.8310342361878,0.4078589703171,435.015</v>
      </c>
      <c r="P4" s="55" t="str">
        <f>CONCATENATE('1-Blade sections'!BH14,",",'1-Blade sections'!BI14,",",'1-Blade sections'!$A$29*1000)</f>
        <v>20.8310342361878,0.4078589703171,450</v>
      </c>
      <c r="Q4" s="55" t="str">
        <f>CONCATENATE('1-Blade sections'!BK14,",",'1-Blade sections'!BL14,",",'1-Blade sections'!$A$30*1000)</f>
        <v>0,0,0</v>
      </c>
      <c r="R4" s="55" t="str">
        <f>CONCATENATE('1-Blade sections'!BN14,",",'1-Blade sections'!BO14,",",'1-Blade sections'!$A$31*1000)</f>
        <v>0,0,0</v>
      </c>
      <c r="S4" s="55" t="str">
        <f>CONCATENATE('1-Blade sections'!BQ14,",",'1-Blade sections'!BR14,",",'1-Blade sections'!$A$32*1000)</f>
        <v>0,0,0</v>
      </c>
      <c r="T4" s="56" t="str">
        <f>CONCATENATE('1-Blade sections'!BT14,",",'1-Blade sections'!BU14,",",'1-Blade sections'!$A$33*1000)</f>
        <v>0,0,0</v>
      </c>
    </row>
    <row r="5" spans="1:20" x14ac:dyDescent="0.25">
      <c r="A5" s="5" t="str">
        <f>CONCATENATE('1-Blade sections'!O15,",",'1-Blade sections'!P15,",",'1-Blade sections'!$A$14*1000)</f>
        <v>16.5736919383314,21.1345367322043,30</v>
      </c>
      <c r="B5" s="5" t="str">
        <f>CONCATENATE('1-Blade sections'!R15,",",'1-Blade sections'!S15,",",'1-Blade sections'!$A$15*1000)</f>
        <v>35.8365050900154,23.5437058754334,45</v>
      </c>
      <c r="C5" s="5" t="str">
        <f>CONCATENATE('1-Blade sections'!U15,",",'1-Blade sections'!V15,",",'1-Blade sections'!$A$16*1000)</f>
        <v>37.8793612426854,17.0983592660221,75.015</v>
      </c>
      <c r="D5" s="5" t="str">
        <f>CONCATENATE('1-Blade sections'!X15,",",'1-Blade sections'!Y15,",",'1-Blade sections'!$A$17*1000)</f>
        <v>35.1282917131619,11.8178357434811,104.985</v>
      </c>
      <c r="E5" s="12" t="str">
        <f>CONCATENATE('1-Blade sections'!AA15,",",'1-Blade sections'!AB15,",",'1-Blade sections'!$A$18*1000)</f>
        <v>30.5806306192278,7.86538905420103,135</v>
      </c>
      <c r="F5" s="11" t="str">
        <f>CONCATENATE('1-Blade sections'!AD15,",",'1-Blade sections'!AE15,",",'1-Blade sections'!$A$19*1000)</f>
        <v>25.6057451559757,4.97443910804283,165.015</v>
      </c>
      <c r="G5" s="5" t="str">
        <f>CONCATENATE('1-Blade sections'!AG15,",",'1-Blade sections'!AH15,",",'1-Blade sections'!$A$20*1000)</f>
        <v>24.7417295315837,4.29762732709727,194.985</v>
      </c>
      <c r="H5" s="4" t="str">
        <f>CONCATENATE('1-Blade sections'!AJ15,",",'1-Blade sections'!AK15,",",'1-Blade sections'!$A$21*1000)</f>
        <v>22.7166280830225,3.0810717640483,225</v>
      </c>
      <c r="I5" s="19" t="str">
        <f>CONCATENATE('1-Blade sections'!AM15,",",'1-Blade sections'!AN15,",",'1-Blade sections'!$A$22*1000)</f>
        <v>21.0370489975754,2.19398347852248,255.015</v>
      </c>
      <c r="J5" s="5" t="str">
        <f>CONCATENATE('1-Blade sections'!AP15,",",'1-Blade sections'!AQ15,",",'1-Blade sections'!$A$23*1000)</f>
        <v>20.2434395484273,1.74399345901996,284.985</v>
      </c>
      <c r="K5" s="29" t="str">
        <f>CONCATENATE('1-Blade sections'!AS15,",",'1-Blade sections'!AT15,",",'1-Blade sections'!$A$24*1000)</f>
        <v>18.9378588568992,1.35214497734063,315</v>
      </c>
      <c r="L5" s="5" t="str">
        <f>CONCATENATE('1-Blade sections'!AV15,",",'1-Blade sections'!AW15,",",'1-Blade sections'!$A$25*1000)</f>
        <v>18.7238036505788,1.10713004114077,345.015</v>
      </c>
      <c r="M5" s="5" t="str">
        <f>CONCATENATE('1-Blade sections'!AY15,",",'1-Blade sections'!AZ15,",",'1-Blade sections'!$A$26*1000)</f>
        <v>18.7342113548894,0.914267457451884,374.985</v>
      </c>
      <c r="N5" s="5" t="str">
        <f>CONCATENATE('1-Blade sections'!BB15,",",'1-Blade sections'!BC15,",",'1-Blade sections'!$A$27*1000)</f>
        <v>18.7342113548894,0.914267457451884,405</v>
      </c>
      <c r="O5" s="5" t="str">
        <f>CONCATENATE('1-Blade sections'!BE15,",",'1-Blade sections'!BF15,",",'1-Blade sections'!$A$28*1000)</f>
        <v>18.7406799435824,0.770373497488364,435.015</v>
      </c>
      <c r="P5" s="5" t="str">
        <f>CONCATENATE('1-Blade sections'!BH15,",",'1-Blade sections'!BI15,",",'1-Blade sections'!$A$29*1000)</f>
        <v>18.7406799435824,0.770373497488364,450</v>
      </c>
      <c r="Q5" s="5" t="str">
        <f>CONCATENATE('1-Blade sections'!BK15,",",'1-Blade sections'!BL15,",",'1-Blade sections'!$A$30*1000)</f>
        <v>0,0,0</v>
      </c>
      <c r="R5" s="5" t="str">
        <f>CONCATENATE('1-Blade sections'!BN15,",",'1-Blade sections'!BO15,",",'1-Blade sections'!$A$31*1000)</f>
        <v>0,0,0</v>
      </c>
      <c r="S5" s="5" t="str">
        <f>CONCATENATE('1-Blade sections'!BQ15,",",'1-Blade sections'!BR15,",",'1-Blade sections'!$A$32*1000)</f>
        <v>0,0,0</v>
      </c>
      <c r="T5" s="12" t="str">
        <f>CONCATENATE('1-Blade sections'!BT15,",",'1-Blade sections'!BU15,",",'1-Blade sections'!$A$33*1000)</f>
        <v>0,0,0</v>
      </c>
    </row>
    <row r="6" spans="1:20" x14ac:dyDescent="0.25">
      <c r="A6" s="5" t="str">
        <f>CONCATENATE('1-Blade sections'!O16,",",'1-Blade sections'!P16,",",'1-Blade sections'!$A$14*1000)</f>
        <v>12.1115658404607,23.7777589881653,30</v>
      </c>
      <c r="B6" s="5" t="str">
        <f>CONCATENATE('1-Blade sections'!R16,",",'1-Blade sections'!S16,",",'1-Blade sections'!$A$15*1000)</f>
        <v>31.332213668101,21.7644951728654,45</v>
      </c>
      <c r="C6" s="5" t="str">
        <f>CONCATENATE('1-Blade sections'!U16,",",'1-Blade sections'!V16,",",'1-Blade sections'!$A$16*1000)</f>
        <v>33.2974150621546,16.078857933598,75.015</v>
      </c>
      <c r="D6" s="4" t="str">
        <f>CONCATENATE('1-Blade sections'!X16,",",'1-Blade sections'!Y16,",",'1-Blade sections'!$A$17*1000)</f>
        <v>30.9720099367534,11.318977581396,104.985</v>
      </c>
      <c r="E6" s="11" t="str">
        <f>CONCATENATE('1-Blade sections'!AA16,",",'1-Blade sections'!AB16,",",'1-Blade sections'!$A$18*1000)</f>
        <v>27.018133693203,7.69899420312881,135</v>
      </c>
      <c r="F6" s="11" t="str">
        <f>CONCATENATE('1-Blade sections'!AD16,",",'1-Blade sections'!AE16,",",'1-Blade sections'!$A$19*1000)</f>
        <v>22.6598608709775,5.01330154492464,165.015</v>
      </c>
      <c r="G6" s="5" t="str">
        <f>CONCATENATE('1-Blade sections'!AG16,",",'1-Blade sections'!AH16,",",'1-Blade sections'!$A$20*1000)</f>
        <v>21.9069544212263,4.39145889706044,194.985</v>
      </c>
      <c r="H6" s="4" t="str">
        <f>CONCATENATE('1-Blade sections'!AJ16,",",'1-Blade sections'!AK16,",",'1-Blade sections'!$A$21*1000)</f>
        <v>20.1337686398812,3.26285204931511,225</v>
      </c>
      <c r="I6" s="19" t="str">
        <f>CONCATENATE('1-Blade sections'!AM16,",",'1-Blade sections'!AN16,",",'1-Blade sections'!$A$22*1000)</f>
        <v>18.6603197453711,2.43522716979913,255.015</v>
      </c>
      <c r="J6" s="5" t="str">
        <f>CONCATENATE('1-Blade sections'!AP16,",",'1-Blade sections'!AQ16,",",'1-Blade sections'!$A$23*1000)</f>
        <v>17.9648170730904,2.01674378043782,284.985</v>
      </c>
      <c r="K6" s="29" t="str">
        <f>CONCATENATE('1-Blade sections'!AS16,",",'1-Blade sections'!AT16,",",'1-Blade sections'!$A$24*1000)</f>
        <v>16.8126194512444,1.63819729386341,315</v>
      </c>
      <c r="L6" s="5" t="str">
        <f>CONCATENATE('1-Blade sections'!AV16,",",'1-Blade sections'!AW16,",",'1-Blade sections'!$A$25*1000)</f>
        <v>16.6278697326337,1.41535271730725,345.015</v>
      </c>
      <c r="M6" s="5" t="str">
        <f>CONCATENATE('1-Blade sections'!AY16,",",'1-Blade sections'!AZ16,",",'1-Blade sections'!$A$26*1000)</f>
        <v>16.6415624087942,1.24405616996695,374.985</v>
      </c>
      <c r="N6" s="5" t="str">
        <f>CONCATENATE('1-Blade sections'!BB16,",",'1-Blade sections'!BC16,",",'1-Blade sections'!$A$27*1000)</f>
        <v>16.6415624087942,1.24405616996695,405</v>
      </c>
      <c r="O6" s="5" t="str">
        <f>CONCATENATE('1-Blade sections'!BE16,",",'1-Blade sections'!BF16,",",'1-Blade sections'!$A$28*1000)</f>
        <v>16.6506252736624,1.11622271787438,435.015</v>
      </c>
      <c r="P6" s="5" t="str">
        <f>CONCATENATE('1-Blade sections'!BH16,",",'1-Blade sections'!BI16,",",'1-Blade sections'!$A$29*1000)</f>
        <v>16.6506252736624,1.11622271787438,450</v>
      </c>
      <c r="Q6" s="5" t="str">
        <f>CONCATENATE('1-Blade sections'!BK16,",",'1-Blade sections'!BL16,",",'1-Blade sections'!$A$30*1000)</f>
        <v>0,0,0</v>
      </c>
      <c r="R6" s="5" t="str">
        <f>CONCATENATE('1-Blade sections'!BN16,",",'1-Blade sections'!BO16,",",'1-Blade sections'!$A$31*1000)</f>
        <v>0,0,0</v>
      </c>
      <c r="S6" s="5" t="str">
        <f>CONCATENATE('1-Blade sections'!BQ16,",",'1-Blade sections'!BR16,",",'1-Blade sections'!$A$32*1000)</f>
        <v>0,0,0</v>
      </c>
      <c r="T6" s="12" t="str">
        <f>CONCATENATE('1-Blade sections'!BT16,",",'1-Blade sections'!BU16,",",'1-Blade sections'!$A$33*1000)</f>
        <v>0,0,0</v>
      </c>
    </row>
    <row r="7" spans="1:20" x14ac:dyDescent="0.25">
      <c r="A7" s="5" t="str">
        <f>CONCATENATE('1-Blade sections'!O17,",",'1-Blade sections'!P17,",",'1-Blade sections'!$A$14*1000)</f>
        <v>7.22719474851592,25.5212873613291,30</v>
      </c>
      <c r="B7" s="5" t="str">
        <f>CONCATENATE('1-Blade sections'!R17,",",'1-Blade sections'!S17,",",'1-Blade sections'!$A$15*1000)</f>
        <v>22.3993086843669,18.0848697513293,45</v>
      </c>
      <c r="C7" s="5" t="str">
        <f>CONCATENATE('1-Blade sections'!U17,",",'1-Blade sections'!V17,",",'1-Blade sections'!$A$16*1000)</f>
        <v>24.1875702501609,13.9123416323622,75.015</v>
      </c>
      <c r="D7" s="5" t="str">
        <f>CONCATENATE('1-Blade sections'!X17,",",'1-Blade sections'!Y17,",",'1-Blade sections'!$A$17*1000)</f>
        <v>22.696113405522,10.2033195359052,104.985</v>
      </c>
      <c r="E7" s="12" t="str">
        <f>CONCATENATE('1-Blade sections'!AA17,",",'1-Blade sections'!AB17,",",'1-Blade sections'!$A$18*1000)</f>
        <v>19.9169892249783,7.26371787982745,135</v>
      </c>
      <c r="F7" s="11" t="str">
        <f>CONCATENATE('1-Blade sections'!AD17,",",'1-Blade sections'!AE17,",",'1-Blade sections'!$A$19*1000)</f>
        <v>16.7826933751603,5.00533648778732,165.015</v>
      </c>
      <c r="G7" s="5" t="str">
        <f>CONCATENATE('1-Blade sections'!AG17,",",'1-Blade sections'!AH17,",",'1-Blade sections'!$A$20*1000)</f>
        <v>16.2498169654518,4.49636273242509,194.985</v>
      </c>
      <c r="H7" s="4" t="str">
        <f>CONCATENATE('1-Blade sections'!AJ17,",",'1-Blade sections'!AK17,",",'1-Blade sections'!$A$21*1000)</f>
        <v>14.9765654226745,3.55049371966444,225</v>
      </c>
      <c r="I7" s="19" t="str">
        <f>CONCATENATE('1-Blade sections'!AM17,",",'1-Blade sections'!AN17,",",'1-Blade sections'!$A$22*1000)</f>
        <v>13.9125508483489,2.84745956254537,255.015</v>
      </c>
      <c r="J7" s="5" t="str">
        <f>CONCATENATE('1-Blade sections'!AP17,",",'1-Blade sections'!AQ17,",",'1-Blade sections'!$A$23*1000)</f>
        <v>13.411823668494,2.49466803349167,284.985</v>
      </c>
      <c r="K7" s="29" t="str">
        <f>CONCATENATE('1-Blade sections'!AS17,",",'1-Blade sections'!AT17,",",'1-Blade sections'!$A$24*1000)</f>
        <v>12.5651872460614,2.14710532026661,315</v>
      </c>
      <c r="L7" s="5" t="str">
        <f>CONCATENATE('1-Blade sections'!AV17,",",'1-Blade sections'!AW17,",",'1-Blade sections'!$A$25*1000)</f>
        <v>12.4382487037863,1.96933346459773,345.015</v>
      </c>
      <c r="M7" s="5" t="str">
        <f>CONCATENATE('1-Blade sections'!AY17,",",'1-Blade sections'!AZ17,",",'1-Blade sections'!$A$26*1000)</f>
        <v>12.4578679902083,1.84114916575748,374.985</v>
      </c>
      <c r="N7" s="5" t="str">
        <f>CONCATENATE('1-Blade sections'!BB17,",",'1-Blade sections'!BC17,",",'1-Blade sections'!$A$27*1000)</f>
        <v>12.4578679902083,1.84114916575748,405</v>
      </c>
      <c r="O7" s="5" t="str">
        <f>CONCATENATE('1-Blade sections'!BE17,",",'1-Blade sections'!BF17,",",'1-Blade sections'!$A$28*1000)</f>
        <v>12.4716395188927,1.74542625820174,435.015</v>
      </c>
      <c r="P7" s="5" t="str">
        <f>CONCATENATE('1-Blade sections'!BH17,",",'1-Blade sections'!BI17,",",'1-Blade sections'!$A$29*1000)</f>
        <v>12.4716395188927,1.74542625820174,450</v>
      </c>
      <c r="Q7" s="5" t="str">
        <f>CONCATENATE('1-Blade sections'!BK17,",",'1-Blade sections'!BL17,",",'1-Blade sections'!$A$30*1000)</f>
        <v>0,0,0</v>
      </c>
      <c r="R7" s="5" t="str">
        <f>CONCATENATE('1-Blade sections'!BN17,",",'1-Blade sections'!BO17,",",'1-Blade sections'!$A$31*1000)</f>
        <v>0,0,0</v>
      </c>
      <c r="S7" s="5" t="str">
        <f>CONCATENATE('1-Blade sections'!BQ17,",",'1-Blade sections'!BR17,",",'1-Blade sections'!$A$32*1000)</f>
        <v>0,0,0</v>
      </c>
      <c r="T7" s="12" t="str">
        <f>CONCATENATE('1-Blade sections'!BT17,",",'1-Blade sections'!BU17,",",'1-Blade sections'!$A$33*1000)</f>
        <v>0,0,0</v>
      </c>
    </row>
    <row r="8" spans="1:20" x14ac:dyDescent="0.25">
      <c r="A8" s="5" t="str">
        <f>CONCATENATE('1-Blade sections'!O18,",",'1-Blade sections'!P18,",",'1-Blade sections'!$A$14*1000)</f>
        <v>2.09964023135592,26.3002326400754,30</v>
      </c>
      <c r="B8" s="5" t="str">
        <f>CONCATENATE('1-Blade sections'!R18,",",'1-Blade sections'!S18,",",'1-Blade sections'!$A$15*1000)</f>
        <v>13.5521719420734,14.2678797778731,45</v>
      </c>
      <c r="C8" s="5" t="str">
        <f>CONCATENATE('1-Blade sections'!U18,",",'1-Blade sections'!V18,",",'1-Blade sections'!$A$16*1000)</f>
        <v>15.1389793271109,11.601309876554,75.015</v>
      </c>
      <c r="D8" s="4" t="str">
        <f>CONCATENATE('1-Blade sections'!X18,",",'1-Blade sections'!Y18,",",'1-Blade sections'!$A$17*1000)</f>
        <v>14.4617728320876,8.95399420625107,104.985</v>
      </c>
      <c r="E8" s="11" t="str">
        <f>CONCATENATE('1-Blade sections'!AA18,",",'1-Blade sections'!AB18,",",'1-Blade sections'!$A$18*1000)</f>
        <v>12.8428740584219,6.71229005254821,135</v>
      </c>
      <c r="F8" s="11" t="str">
        <f>CONCATENATE('1-Blade sections'!AD18,",",'1-Blade sections'!AE18,",",'1-Blade sections'!$A$19*1000)</f>
        <v>10.922073763413,4.90025617562892,165.015</v>
      </c>
      <c r="G8" s="5" t="str">
        <f>CONCATENATE('1-Blade sections'!AG18,",",'1-Blade sections'!AH18,",",'1-Blade sections'!$A$20*1000)</f>
        <v>10.6067473099431,4.5074726892865,194.985</v>
      </c>
      <c r="H8" s="4" t="str">
        <f>CONCATENATE('1-Blade sections'!AJ18,",",'1-Blade sections'!AK18,",",'1-Blade sections'!$A$21*1000)</f>
        <v>9.82901329708707,3.75209396980493,225</v>
      </c>
      <c r="I8" s="19" t="str">
        <f>CONCATENATE('1-Blade sections'!AM18,",",'1-Blade sections'!AN18,",",'1-Blade sections'!$A$22*1000)</f>
        <v>9.17123017303104,3.18006963351026,255.015</v>
      </c>
      <c r="J8" s="5" t="str">
        <f>CONCATENATE('1-Blade sections'!AP18,",",'1-Blade sections'!AQ18,",",'1-Blade sections'!$A$23*1000)</f>
        <v>8.86364868278513,2.89600571145938,284.985</v>
      </c>
      <c r="K8" s="29" t="str">
        <f>CONCATENATE('1-Blade sections'!AS18,",",'1-Blade sections'!AT18,",",'1-Blade sections'!$A$24*1000)</f>
        <v>8.32120786115498,2.58439052580845,315</v>
      </c>
      <c r="L8" s="5" t="str">
        <f>CONCATENATE('1-Blade sections'!AV18,",",'1-Blade sections'!AW18,",",'1-Blade sections'!$A$25*1000)</f>
        <v>8.25117405625403,2.45252099284008,345.015</v>
      </c>
      <c r="M8" s="5" t="str">
        <f>CONCATENATE('1-Blade sections'!AY18,",",'1-Blade sections'!AZ18,",",'1-Blade sections'!$A$26*1000)</f>
        <v>8.2759908417076,2.36742647507645,374.985</v>
      </c>
      <c r="N8" s="5" t="str">
        <f>CONCATENATE('1-Blade sections'!BB18,",",'1-Blade sections'!BC18,",",'1-Blade sections'!$A$27*1000)</f>
        <v>8.2759908417076,2.36742647507645,405</v>
      </c>
      <c r="O8" s="5" t="str">
        <f>CONCATENATE('1-Blade sections'!BE18,",",'1-Blade sections'!BF18,",",'1-Blade sections'!$A$28*1000)</f>
        <v>8.29392716053583,2.3038022446918,435.015</v>
      </c>
      <c r="P8" s="5" t="str">
        <f>CONCATENATE('1-Blade sections'!BH18,",",'1-Blade sections'!BI18,",",'1-Blade sections'!$A$29*1000)</f>
        <v>8.29392716053583,2.3038022446918,450</v>
      </c>
      <c r="Q8" s="5" t="str">
        <f>CONCATENATE('1-Blade sections'!BK18,",",'1-Blade sections'!BL18,",",'1-Blade sections'!$A$30*1000)</f>
        <v>0,0,0</v>
      </c>
      <c r="R8" s="5" t="str">
        <f>CONCATENATE('1-Blade sections'!BN18,",",'1-Blade sections'!BO18,",",'1-Blade sections'!$A$31*1000)</f>
        <v>0,0,0</v>
      </c>
      <c r="S8" s="5" t="str">
        <f>CONCATENATE('1-Blade sections'!BQ18,",",'1-Blade sections'!BR18,",",'1-Blade sections'!$A$32*1000)</f>
        <v>0,0,0</v>
      </c>
      <c r="T8" s="12" t="str">
        <f>CONCATENATE('1-Blade sections'!BT18,",",'1-Blade sections'!BU18,",",'1-Blade sections'!$A$33*1000)</f>
        <v>0,0,0</v>
      </c>
    </row>
    <row r="9" spans="1:20" x14ac:dyDescent="0.25">
      <c r="A9" s="5" t="str">
        <f>CONCATENATE('1-Blade sections'!O19,",",'1-Blade sections'!P19,",",'1-Blade sections'!$A$14*1000)</f>
        <v>-3.0822243087107,26.0868614561946,30</v>
      </c>
      <c r="B9" s="5" t="str">
        <f>CONCATENATE('1-Blade sections'!R19,",",'1-Blade sections'!S19,",",'1-Blade sections'!$A$15*1000)</f>
        <v>4.78575825054758,10.321605520257,45</v>
      </c>
      <c r="C9" s="5" t="str">
        <f>CONCATENATE('1-Blade sections'!U19,",",'1-Blade sections'!V19,",",'1-Blade sections'!$A$16*1000)</f>
        <v>6.1480391230668,9.15426357526595,75.015</v>
      </c>
      <c r="D9" s="5" t="str">
        <f>CONCATENATE('1-Blade sections'!X19,",",'1-Blade sections'!Y19,",",'1-Blade sections'!$A$17*1000)</f>
        <v>6.26654374834435,7.57886437385511,104.985</v>
      </c>
      <c r="E9" s="12" t="str">
        <f>CONCATENATE('1-Blade sections'!AA19,",",'1-Blade sections'!AB19,",",'1-Blade sections'!$A$18*1000)</f>
        <v>5.79419823461234,6.05154316270158,135</v>
      </c>
      <c r="F9" s="11" t="str">
        <f>CONCATENATE('1-Blade sections'!AD19,",",'1-Blade sections'!AE19,",",'1-Blade sections'!$A$19*1000)</f>
        <v>5.07702863079039,4.70377327050951,165.015</v>
      </c>
      <c r="G9" s="5" t="str">
        <f>CONCATENATE('1-Blade sections'!AG19,",",'1-Blade sections'!AH19,",",'1-Blade sections'!$A$20*1000)</f>
        <v>4.9769179370376,4.43030605461546,194.985</v>
      </c>
      <c r="H9" s="4" t="str">
        <f>CONCATENATE('1-Blade sections'!AJ19,",",'1-Blade sections'!AK19,",",'1-Blade sections'!$A$21*1000)</f>
        <v>4.69054455184731,3.87271405974887,225</v>
      </c>
      <c r="I9" s="19" t="str">
        <f>CONCATENATE('1-Blade sections'!AM19,",",'1-Blade sections'!AN19,",",'1-Blade sections'!$A$22*1000)</f>
        <v>4.43597841225844,3.43774104868096,255.015</v>
      </c>
      <c r="J9" s="5" t="str">
        <f>CONCATENATE('1-Blade sections'!AP19,",",'1-Blade sections'!AQ19,",",'1-Blade sections'!$A$23*1000)</f>
        <v>4.32000867955879,3.22526190699309,284.985</v>
      </c>
      <c r="K9" s="29" t="str">
        <f>CONCATENATE('1-Blade sections'!AS19,",",'1-Blade sections'!AT19,",",'1-Blade sections'!$A$24*1000)</f>
        <v>4.08047818945023,2.95426601759844,315</v>
      </c>
      <c r="L9" s="5" t="str">
        <f>CONCATENATE('1-Blade sections'!AV19,",",'1-Blade sections'!AW19,",",'1-Blade sections'!$A$25*1000)</f>
        <v>4.06649600290083,2.86907960903712,345.015</v>
      </c>
      <c r="M9" s="5" t="str">
        <f>CONCATENATE('1-Blade sections'!AY19,",",'1-Blade sections'!AZ19,",",'1-Blade sections'!$A$26*1000)</f>
        <v>4.09582406505189,2.82705372653984,374.985</v>
      </c>
      <c r="N9" s="5" t="str">
        <f>CONCATENATE('1-Blade sections'!BB19,",",'1-Blade sections'!BC19,",",'1-Blade sections'!$A$27*1000)</f>
        <v>4.09582406505189,2.82705372653984,405</v>
      </c>
      <c r="O9" s="5" t="str">
        <f>CONCATENATE('1-Blade sections'!BE19,",",'1-Blade sections'!BF19,",",'1-Blade sections'!$A$28*1000)</f>
        <v>4.11741329292061,2.79551700404087,435.015</v>
      </c>
      <c r="P9" s="5" t="str">
        <f>CONCATENATE('1-Blade sections'!BH19,",",'1-Blade sections'!BI19,",",'1-Blade sections'!$A$29*1000)</f>
        <v>4.11741329292061,2.79551700404087,450</v>
      </c>
      <c r="Q9" s="5" t="str">
        <f>CONCATENATE('1-Blade sections'!BK19,",",'1-Blade sections'!BL19,",",'1-Blade sections'!$A$30*1000)</f>
        <v>0,0,0</v>
      </c>
      <c r="R9" s="5" t="str">
        <f>CONCATENATE('1-Blade sections'!BN19,",",'1-Blade sections'!BO19,",",'1-Blade sections'!$A$31*1000)</f>
        <v>0,0,0</v>
      </c>
      <c r="S9" s="5" t="str">
        <f>CONCATENATE('1-Blade sections'!BQ19,",",'1-Blade sections'!BR19,",",'1-Blade sections'!$A$32*1000)</f>
        <v>0,0,0</v>
      </c>
      <c r="T9" s="12" t="str">
        <f>CONCATENATE('1-Blade sections'!BT19,",",'1-Blade sections'!BU19,",",'1-Blade sections'!$A$33*1000)</f>
        <v>0,0,0</v>
      </c>
    </row>
    <row r="10" spans="1:20" x14ac:dyDescent="0.25">
      <c r="A10" s="5" t="str">
        <f>CONCATENATE('1-Blade sections'!O20,",",'1-Blade sections'!P20,",",'1-Blade sections'!$A$14*1000)</f>
        <v>-8.12784296886122,24.8882198795213,30</v>
      </c>
      <c r="B10" s="5" t="str">
        <f>CONCATENATE('1-Blade sections'!R20,",",'1-Blade sections'!S20,",",'1-Blade sections'!$A$15*1000)</f>
        <v>-3.86461605549983,6.18948510416084,45</v>
      </c>
      <c r="C10" s="5" t="str">
        <f>CONCATENATE('1-Blade sections'!U20,",",'1-Blade sections'!V20,",",'1-Blade sections'!$A$16*1000)</f>
        <v>-2.76002817240634,6.51169636485051,75.015</v>
      </c>
      <c r="D10" s="4" t="str">
        <f>CONCATENATE('1-Blade sections'!X20,",",'1-Blade sections'!Y20,",",'1-Blade sections'!$A$17*1000)</f>
        <v>-1.87246256896771,6.02289056876769,104.985</v>
      </c>
      <c r="E10" s="11" t="str">
        <f>CONCATENATE('1-Blade sections'!AA20,",",'1-Blade sections'!AB20,",",'1-Blade sections'!$A$18*1000)</f>
        <v>-1.21790853399887,5.23365012041431,135</v>
      </c>
      <c r="F10" s="11" t="str">
        <f>CONCATENATE('1-Blade sections'!AD20,",",'1-Blade sections'!AE20,",",'1-Blade sections'!$A$19*1000)</f>
        <v>-0.745628188090646,4.37589913800863,165.015</v>
      </c>
      <c r="G10" s="5" t="str">
        <f>CONCATENATE('1-Blade sections'!AG20,",",'1-Blade sections'!AH20,",",'1-Blade sections'!$A$20*1000)</f>
        <v>-0.633878529625866,4.2262418196165,194.985</v>
      </c>
      <c r="H10" s="4" t="str">
        <f>CONCATENATE('1-Blade sections'!AJ20,",",'1-Blade sections'!AK20,",",'1-Blade sections'!$A$21*1000)</f>
        <v>-0.434866834142741,3.87692516941025,225</v>
      </c>
      <c r="I10" s="19" t="str">
        <f>CONCATENATE('1-Blade sections'!AM20,",",'1-Blade sections'!AN20,",",'1-Blade sections'!$A$22*1000)</f>
        <v>-0.290549283855306,3.58768814614748,255.015</v>
      </c>
      <c r="J10" s="5" t="str">
        <f>CONCATENATE('1-Blade sections'!AP20,",",'1-Blade sections'!AQ20,",",'1-Blade sections'!$A$23*1000)</f>
        <v>-0.217112286348976,3.45090097152792,284.985</v>
      </c>
      <c r="K10" s="29" t="str">
        <f>CONCATENATE('1-Blade sections'!AS20,",",'1-Blade sections'!AT20,",",'1-Blade sections'!$A$24*1000)</f>
        <v>-0.155580019527206,3.22724004587014,315</v>
      </c>
      <c r="L10" s="5" t="str">
        <f>CONCATENATE('1-Blade sections'!AV20,",",'1-Blade sections'!AW20,",",'1-Blade sections'!$A$25*1000)</f>
        <v>-0.114736946320056,3.18985916416903,345.015</v>
      </c>
      <c r="M10" s="5" t="str">
        <f>CONCATENATE('1-Blade sections'!AY20,",",'1-Blade sections'!AZ20,",",'1-Blade sections'!$A$26*1000)</f>
        <v>-0.0818840520767145,3.19087151983584,374.985</v>
      </c>
      <c r="N10" s="5" t="str">
        <f>CONCATENATE('1-Blade sections'!BB20,",",'1-Blade sections'!BC20,",",'1-Blade sections'!$A$27*1000)</f>
        <v>-0.0818840520767145,3.19087151983584,405</v>
      </c>
      <c r="O10" s="5" t="str">
        <f>CONCATENATE('1-Blade sections'!BE20,",",'1-Blade sections'!BF20,",",'1-Blade sections'!$A$28*1000)</f>
        <v>-0.0573777442535802,3.19140624937478,435.015</v>
      </c>
      <c r="P10" s="5" t="str">
        <f>CONCATENATE('1-Blade sections'!BH20,",",'1-Blade sections'!BI20,",",'1-Blade sections'!$A$29*1000)</f>
        <v>-0.0573777442535802,3.19140624937478,450</v>
      </c>
      <c r="Q10" s="5" t="str">
        <f>CONCATENATE('1-Blade sections'!BK20,",",'1-Blade sections'!BL20,",",'1-Blade sections'!$A$30*1000)</f>
        <v>0,0,0</v>
      </c>
      <c r="R10" s="5" t="str">
        <f>CONCATENATE('1-Blade sections'!BN20,",",'1-Blade sections'!BO20,",",'1-Blade sections'!$A$31*1000)</f>
        <v>0,0,0</v>
      </c>
      <c r="S10" s="5" t="str">
        <f>CONCATENATE('1-Blade sections'!BQ20,",",'1-Blade sections'!BR20,",",'1-Blade sections'!$A$32*1000)</f>
        <v>0,0,0</v>
      </c>
      <c r="T10" s="12" t="str">
        <f>CONCATENATE('1-Blade sections'!BT20,",",'1-Blade sections'!BU20,",",'1-Blade sections'!$A$33*1000)</f>
        <v>0,0,0</v>
      </c>
    </row>
    <row r="11" spans="1:20" x14ac:dyDescent="0.25">
      <c r="A11" s="5" t="str">
        <f>CONCATENATE('1-Blade sections'!O21,",",'1-Blade sections'!P21,",",'1-Blade sections'!$A$14*1000)</f>
        <v>-12.8525100193135,22.7494779546483,30</v>
      </c>
      <c r="B11" s="5" t="str">
        <f>CONCATENATE('1-Blade sections'!R21,",",'1-Blade sections'!S21,",",'1-Blade sections'!$A$15*1000)</f>
        <v>-12.3737250227039,1.83111719078465,45</v>
      </c>
      <c r="C11" s="5" t="str">
        <f>CONCATENATE('1-Blade sections'!U21,",",'1-Blade sections'!V21,",",'1-Blade sections'!$A$16*1000)</f>
        <v>-11.5672067096192,3.63110369984523,75.015</v>
      </c>
      <c r="D11" s="5" t="str">
        <f>CONCATENATE('1-Blade sections'!X21,",",'1-Blade sections'!Y21,",",'1-Blade sections'!$A$17*1000)</f>
        <v>-9.94302377932013,4.24675888388198,104.985</v>
      </c>
      <c r="E11" s="12" t="str">
        <f>CONCATENATE('1-Blade sections'!AA21,",",'1-Blade sections'!AB21,",",'1-Blade sections'!$A$18*1000)</f>
        <v>-8.18549645280332,4.22444871863409,135</v>
      </c>
      <c r="F11" s="11" t="str">
        <f>CONCATENATE('1-Blade sections'!AD21,",",'1-Blade sections'!AE21,",",'1-Blade sections'!$A$19*1000)</f>
        <v>-6.54102966850361,3.88807046782598,165.015</v>
      </c>
      <c r="G11" s="5" t="str">
        <f>CONCATENATE('1-Blade sections'!AG21,",",'1-Blade sections'!AH21,",",'1-Blade sections'!$A$20*1000)</f>
        <v>-6.22150450173382,3.86769354943573,194.985</v>
      </c>
      <c r="H11" s="4" t="str">
        <f>CONCATENATE('1-Blade sections'!AJ21,",",'1-Blade sections'!AK21,",",'1-Blade sections'!$A$21*1000)</f>
        <v>-5.54438230452444,3.73942099872765,225</v>
      </c>
      <c r="I11" s="19" t="str">
        <f>CONCATENATE('1-Blade sections'!AM21,",",'1-Blade sections'!AN21,",",'1-Blade sections'!$A$22*1000)</f>
        <v>-5.00645637951482,3.60649259597416,255.015</v>
      </c>
      <c r="J11" s="5" t="str">
        <f>CONCATENATE('1-Blade sections'!AP21,",",'1-Blade sections'!AQ21,",",'1-Blade sections'!$A$23*1000)</f>
        <v>-4.74629703291239,3.55039744180324,284.985</v>
      </c>
      <c r="K11" s="29" t="str">
        <f>CONCATENATE('1-Blade sections'!AS21,",",'1-Blade sections'!AT21,",",'1-Blade sections'!$A$24*1000)</f>
        <v>-4.38595123040182,3.38224707507609,315</v>
      </c>
      <c r="L11" s="5" t="str">
        <f>CONCATENATE('1-Blade sections'!AV21,",",'1-Blade sections'!AW21,",",'1-Blade sections'!$A$25*1000)</f>
        <v>-4.29177585572767,3.39403812322166,345.015</v>
      </c>
      <c r="M11" s="5" t="str">
        <f>CONCATENATE('1-Blade sections'!AY21,",",'1-Blade sections'!AZ21,",",'1-Blade sections'!$A$26*1000)</f>
        <v>-4.25659901847666,3.43805171188458,374.985</v>
      </c>
      <c r="N11" s="5" t="str">
        <f>CONCATENATE('1-Blade sections'!BB21,",",'1-Blade sections'!BC21,",",'1-Blade sections'!$A$27*1000)</f>
        <v>-4.25659901847666,3.43805171188458,405</v>
      </c>
      <c r="O11" s="5" t="str">
        <f>CONCATENATE('1-Blade sections'!BE21,",",'1-Blade sections'!BF21,",",'1-Blade sections'!$A$28*1000)</f>
        <v>-4.23007142262999,3.47063834721195,435.015</v>
      </c>
      <c r="P11" s="5" t="str">
        <f>CONCATENATE('1-Blade sections'!BH21,",",'1-Blade sections'!BI21,",",'1-Blade sections'!$A$29*1000)</f>
        <v>-4.23007142262999,3.47063834721195,450</v>
      </c>
      <c r="Q11" s="5" t="str">
        <f>CONCATENATE('1-Blade sections'!BK21,",",'1-Blade sections'!BL21,",",'1-Blade sections'!$A$30*1000)</f>
        <v>0,0,0</v>
      </c>
      <c r="R11" s="5" t="str">
        <f>CONCATENATE('1-Blade sections'!BN21,",",'1-Blade sections'!BO21,",",'1-Blade sections'!$A$31*1000)</f>
        <v>0,0,0</v>
      </c>
      <c r="S11" s="5" t="str">
        <f>CONCATENATE('1-Blade sections'!BQ21,",",'1-Blade sections'!BR21,",",'1-Blade sections'!$A$32*1000)</f>
        <v>0,0,0</v>
      </c>
      <c r="T11" s="12" t="str">
        <f>CONCATENATE('1-Blade sections'!BT21,",",'1-Blade sections'!BU21,",",'1-Blade sections'!$A$33*1000)</f>
        <v>0,0,0</v>
      </c>
    </row>
    <row r="12" spans="1:20" x14ac:dyDescent="0.25">
      <c r="A12" s="5" t="str">
        <f>CONCATENATE('1-Blade sections'!O22,",",'1-Blade sections'!P22,",",'1-Blade sections'!$A$14*1000)</f>
        <v>-17.0821866850319,19.7479835714303,30</v>
      </c>
      <c r="B12" s="5" t="str">
        <f>CONCATENATE('1-Blade sections'!R22,",",'1-Blade sections'!S22,",",'1-Blade sections'!$A$15*1000)</f>
        <v>-20.6860715536619,-2.84238116523159,45</v>
      </c>
      <c r="C12" s="5" t="str">
        <f>CONCATENATE('1-Blade sections'!U22,",",'1-Blade sections'!V22,",",'1-Blade sections'!$A$16*1000)</f>
        <v>-20.2338616192552,0.418975580232681,75.015</v>
      </c>
      <c r="D12" s="4" t="str">
        <f>CONCATENATE('1-Blade sections'!X22,",",'1-Blade sections'!Y22,",",'1-Blade sections'!$A$17*1000)</f>
        <v>-17.9182507335502,2.16397872356292,104.985</v>
      </c>
      <c r="E12" s="11" t="str">
        <f>CONCATENATE('1-Blade sections'!AA22,",",'1-Blade sections'!AB22,",",'1-Blade sections'!$A$18*1000)</f>
        <v>-15.0910759736627,2.94878210184583,135</v>
      </c>
      <c r="F12" s="11" t="str">
        <f>CONCATENATE('1-Blade sections'!AD22,",",'1-Blade sections'!AE22,",",'1-Blade sections'!$A$19*1000)</f>
        <v>-12.2984683560503,3.17744797730084,165.015</v>
      </c>
      <c r="G12" s="5" t="str">
        <f>CONCATENATE('1-Blade sections'!AG22,",",'1-Blade sections'!AH22,",",'1-Blade sections'!$A$20*1000)</f>
        <v>-11.7768572849966,3.2939710873946,194.985</v>
      </c>
      <c r="H12" s="4" t="str">
        <f>CONCATENATE('1-Blade sections'!AJ22,",",'1-Blade sections'!AK22,",",'1-Blade sections'!$A$21*1000)</f>
        <v>-10.6317570353088,3.40452768756594,225</v>
      </c>
      <c r="I12" s="19" t="str">
        <f>CONCATENATE('1-Blade sections'!AM22,",",'1-Blade sections'!AN22,",",'1-Blade sections'!$A$22*1000)</f>
        <v>-9.70757049597021,3.44263407230245,255.015</v>
      </c>
      <c r="J12" s="5" t="str">
        <f>CONCATENATE('1-Blade sections'!AP22,",",'1-Blade sections'!AQ22,",",'1-Blade sections'!$A$23*1000)</f>
        <v>-9.26442775967476,3.47419529864568,284.985</v>
      </c>
      <c r="K12" s="29" t="str">
        <f>CONCATENATE('1-Blade sections'!AS22,",",'1-Blade sections'!AT22,",",'1-Blade sections'!$A$24*1000)</f>
        <v>-8.6084012653475,3.37294292701189,315</v>
      </c>
      <c r="L12" s="5" t="str">
        <f>CONCATENATE('1-Blade sections'!AV22,",",'1-Blade sections'!AW22,",",'1-Blade sections'!$A$25*1000)</f>
        <v>-8.46297306682396,3.43580910916385,345.015</v>
      </c>
      <c r="M12" s="5" t="str">
        <f>CONCATENATE('1-Blade sections'!AY22,",",'1-Blade sections'!AZ22,",",'1-Blade sections'!$A$26*1000)</f>
        <v>-8.42714495350456,3.52277238791034,374.985</v>
      </c>
      <c r="N12" s="5" t="str">
        <f>CONCATENATE('1-Blade sections'!BB22,",",'1-Blade sections'!BC22,",",'1-Blade sections'!$A$27*1000)</f>
        <v>-8.42714495350456,3.52277238791034,405</v>
      </c>
      <c r="O12" s="5" t="str">
        <f>CONCATENATE('1-Blade sections'!BE22,",",'1-Blade sections'!BF22,",",'1-Blade sections'!$A$28*1000)</f>
        <v>-8.39984377982378,3.58738370389297,435.015</v>
      </c>
      <c r="P12" s="5" t="str">
        <f>CONCATENATE('1-Blade sections'!BH22,",",'1-Blade sections'!BI22,",",'1-Blade sections'!$A$29*1000)</f>
        <v>-8.39984377982378,3.58738370389297,450</v>
      </c>
      <c r="Q12" s="5" t="str">
        <f>CONCATENATE('1-Blade sections'!BK22,",",'1-Blade sections'!BL22,",",'1-Blade sections'!$A$30*1000)</f>
        <v>0,0,0</v>
      </c>
      <c r="R12" s="5" t="str">
        <f>CONCATENATE('1-Blade sections'!BN22,",",'1-Blade sections'!BO22,",",'1-Blade sections'!$A$31*1000)</f>
        <v>0,0,0</v>
      </c>
      <c r="S12" s="5" t="str">
        <f>CONCATENATE('1-Blade sections'!BQ22,",",'1-Blade sections'!BR22,",",'1-Blade sections'!$A$32*1000)</f>
        <v>0,0,0</v>
      </c>
      <c r="T12" s="12" t="str">
        <f>CONCATENATE('1-Blade sections'!BT22,",",'1-Blade sections'!BU22,",",'1-Blade sections'!$A$33*1000)</f>
        <v>0,0,0</v>
      </c>
    </row>
    <row r="13" spans="1:20" x14ac:dyDescent="0.25">
      <c r="A13" s="5" t="str">
        <f>CONCATENATE('1-Blade sections'!O23,",",'1-Blade sections'!P23,",",'1-Blade sections'!$A$14*1000)</f>
        <v>-20.6611195435823,15.9943129099125,30</v>
      </c>
      <c r="B13" s="5" t="str">
        <f>CONCATENATE('1-Blade sections'!R23,",",'1-Blade sections'!S23,",",'1-Blade sections'!$A$15*1000)</f>
        <v>-24.7413410056814,-5.34073569843973,45</v>
      </c>
      <c r="C13" s="5" t="str">
        <f>CONCATENATE('1-Blade sections'!U23,",",'1-Blade sections'!V23,",",'1-Blade sections'!$A$16*1000)</f>
        <v>-24.4951256753159,-1.35710666142348,75.015</v>
      </c>
      <c r="D13" s="5" t="str">
        <f>CONCATENATE('1-Blade sections'!X23,",",'1-Blade sections'!Y23,",",'1-Blade sections'!$A$17*1000)</f>
        <v>-21.8569748485511,0.965333014976034,104.985</v>
      </c>
      <c r="E13" s="12" t="str">
        <f>CONCATENATE('1-Blade sections'!AA23,",",'1-Blade sections'!AB23,",",'1-Blade sections'!$A$18*1000)</f>
        <v>-18.512066555659,2.17429996524245,135</v>
      </c>
      <c r="F13" s="11" t="str">
        <f>CONCATENATE('1-Blade sections'!AD23,",",'1-Blade sections'!AE23,",",'1-Blade sections'!$A$19*1000)</f>
        <v>-15.157719600918,2.70788349083701,165.015</v>
      </c>
      <c r="G13" s="5" t="str">
        <f>CONCATENATE('1-Blade sections'!AG23,",",'1-Blade sections'!AH23,",",'1-Blade sections'!$A$20*1000)</f>
        <v>-14.537983323374,2.89676411695846,194.985</v>
      </c>
      <c r="H13" s="4" t="str">
        <f>CONCATENATE('1-Blade sections'!AJ23,",",'1-Blade sections'!AK23,",",'1-Blade sections'!$A$21*1000)</f>
        <v>-13.1640901752664,3.13585583173939,225</v>
      </c>
      <c r="I13" s="19" t="str">
        <f>CONCATENATE('1-Blade sections'!AM23,",",'1-Blade sections'!AN23,",",'1-Blade sections'!$A$22*1000)</f>
        <v>-12.0505414110163,3.26703149072385,255.015</v>
      </c>
      <c r="J13" s="5" t="str">
        <f>CONCATENATE('1-Blade sections'!AP23,",",'1-Blade sections'!AQ23,",",'1-Blade sections'!$A$23*1000)</f>
        <v>-11.5178243949528,3.3459923740244,284.985</v>
      </c>
      <c r="K13" s="29" t="str">
        <f>CONCATENATE('1-Blade sections'!AS23,",",'1-Blade sections'!AT23,",",'1-Blade sections'!$A$24*1000)</f>
        <v>-10.7155641413183,3.28402871078996,315</v>
      </c>
      <c r="L13" s="5" t="str">
        <f>CONCATENATE('1-Blade sections'!AV23,",",'1-Blade sections'!AW23,",",'1-Blade sections'!$A$25*1000)</f>
        <v>-10.5455759296483,3.37340846207831,345.015</v>
      </c>
      <c r="M13" s="5" t="str">
        <f>CONCATENATE('1-Blade sections'!AY23,",",'1-Blade sections'!AZ23,",",'1-Blade sections'!$A$26*1000)</f>
        <v>-10.5102799562123,3.48182015360375,374.985</v>
      </c>
      <c r="N13" s="5" t="str">
        <f>CONCATENATE('1-Blade sections'!BB23,",",'1-Blade sections'!BC23,",",'1-Blade sections'!$A$27*1000)</f>
        <v>-10.5102799562123,3.48182015360375,405</v>
      </c>
      <c r="O13" s="5" t="str">
        <f>CONCATENATE('1-Blade sections'!BE23,",",'1-Blade sections'!BF23,",",'1-Blade sections'!$A$28*1000)</f>
        <v>-10.4832318449937,3.56242984830724,435.015</v>
      </c>
      <c r="P13" s="5" t="str">
        <f>CONCATENATE('1-Blade sections'!BH23,",",'1-Blade sections'!BI23,",",'1-Blade sections'!$A$29*1000)</f>
        <v>-10.4832318449937,3.56242984830724,450</v>
      </c>
      <c r="Q13" s="5" t="str">
        <f>CONCATENATE('1-Blade sections'!BK23,",",'1-Blade sections'!BL23,",",'1-Blade sections'!$A$30*1000)</f>
        <v>0,0,0</v>
      </c>
      <c r="R13" s="5" t="str">
        <f>CONCATENATE('1-Blade sections'!BN23,",",'1-Blade sections'!BO23,",",'1-Blade sections'!$A$31*1000)</f>
        <v>0,0,0</v>
      </c>
      <c r="S13" s="5" t="str">
        <f>CONCATENATE('1-Blade sections'!BQ23,",",'1-Blade sections'!BR23,",",'1-Blade sections'!$A$32*1000)</f>
        <v>0,0,0</v>
      </c>
      <c r="T13" s="12" t="str">
        <f>CONCATENATE('1-Blade sections'!BT23,",",'1-Blade sections'!BU23,",",'1-Blade sections'!$A$33*1000)</f>
        <v>0,0,0</v>
      </c>
    </row>
    <row r="14" spans="1:20" x14ac:dyDescent="0.25">
      <c r="A14" s="5" t="str">
        <f>CONCATENATE('1-Blade sections'!O24,",",'1-Blade sections'!P24,",",'1-Blade sections'!$A$14*1000)</f>
        <v>-23.4585261878429,11.6275427936431,30</v>
      </c>
      <c r="B14" s="5" t="str">
        <f>CONCATENATE('1-Blade sections'!R24,",",'1-Blade sections'!S24,",",'1-Blade sections'!$A$15*1000)</f>
        <v>-28.7007518349143,-7.99261531908789,45</v>
      </c>
      <c r="C14" s="5" t="str">
        <f>CONCATENATE('1-Blade sections'!U24,",",'1-Blade sections'!V24,",",'1-Blade sections'!$A$16*1000)</f>
        <v>-28.6879295025571,-3.29470617583702,75.015</v>
      </c>
      <c r="D14" s="4" t="str">
        <f>CONCATENATE('1-Blade sections'!X24,",",'1-Blade sections'!Y24,",",'1-Blade sections'!$A$17*1000)</f>
        <v>-25.7492540695438,-0.382705540616838,104.985</v>
      </c>
      <c r="E14" s="11" t="str">
        <f>CONCATENATE('1-Blade sections'!AA24,",",'1-Blade sections'!AB24,",",'1-Blade sections'!$A$18*1000)</f>
        <v>-21.9028479181435,1.27000144184028,135</v>
      </c>
      <c r="F14" s="11" t="str">
        <f>CONCATENATE('1-Blade sections'!AD24,",",'1-Blade sections'!AE24,",",'1-Blade sections'!$A$19*1000)</f>
        <v>-17.9984761518251,2.12977842523197,165.015</v>
      </c>
      <c r="G14" s="5" t="str">
        <f>CONCATENATE('1-Blade sections'!AG24,",",'1-Blade sections'!AH24,",",'1-Blade sections'!$A$20*1000)</f>
        <v>-17.2833865261603,2.39472869407753,194.985</v>
      </c>
      <c r="H14" s="4" t="str">
        <f>CONCATENATE('1-Blade sections'!AJ24,",",'1-Blade sections'!AK24,",",'1-Blade sections'!$A$21*1000)</f>
        <v>-15.6856368010613,2.77102003567942,225</v>
      </c>
      <c r="I14" s="19" t="str">
        <f>CONCATENATE('1-Blade sections'!AM24,",",'1-Blade sections'!AN24,",",'1-Blade sections'!$A$22*1000)</f>
        <v>-14.3863054900399,3.00243925538963,255.015</v>
      </c>
      <c r="J14" s="5" t="str">
        <f>CONCATENATE('1-Blade sections'!AP24,",",'1-Blade sections'!AQ24,",",'1-Blade sections'!$A$23*1000)</f>
        <v>-13.765835738533,3.13219268901273,284.985</v>
      </c>
      <c r="K14" s="29" t="str">
        <f>CONCATENATE('1-Blade sections'!AS24,",",'1-Blade sections'!AT24,",",'1-Blade sections'!$A$24*1000)</f>
        <v>-12.8188679828622,3.11506545948771,315</v>
      </c>
      <c r="L14" s="5" t="str">
        <f>CONCATENATE('1-Blade sections'!AV24,",",'1-Blade sections'!AW24,",",'1-Blade sections'!$A$25*1000)</f>
        <v>-12.6253328368851,3.23188598193897,345.015</v>
      </c>
      <c r="M14" s="5" t="str">
        <f>CONCATENATE('1-Blade sections'!AY24,",",'1-Blade sections'!AZ24,",",'1-Blade sections'!$A$26*1000)</f>
        <v>-12.5913838923542,3.36172097559366,374.985</v>
      </c>
      <c r="N14" s="5" t="str">
        <f>CONCATENATE('1-Blade sections'!BB24,",",'1-Blade sections'!BC24,",",'1-Blade sections'!$A$27*1000)</f>
        <v>-12.5913838923542,3.36172097559366,405</v>
      </c>
      <c r="O14" s="5" t="str">
        <f>CONCATENATE('1-Blade sections'!BE24,",",'1-Blade sections'!BF24,",",'1-Blade sections'!$A$28*1000)</f>
        <v>-12.565196702408,3.45831578549159,435.015</v>
      </c>
      <c r="P14" s="5" t="str">
        <f>CONCATENATE('1-Blade sections'!BH24,",",'1-Blade sections'!BI24,",",'1-Blade sections'!$A$29*1000)</f>
        <v>-12.565196702408,3.45831578549159,450</v>
      </c>
      <c r="Q14" s="5" t="str">
        <f>CONCATENATE('1-Blade sections'!BK24,",",'1-Blade sections'!BL24,",",'1-Blade sections'!$A$30*1000)</f>
        <v>0,0,0</v>
      </c>
      <c r="R14" s="5" t="str">
        <f>CONCATENATE('1-Blade sections'!BN24,",",'1-Blade sections'!BO24,",",'1-Blade sections'!$A$31*1000)</f>
        <v>0,0,0</v>
      </c>
      <c r="S14" s="5" t="str">
        <f>CONCATENATE('1-Blade sections'!BQ24,",",'1-Blade sections'!BR24,",",'1-Blade sections'!$A$32*1000)</f>
        <v>0,0,0</v>
      </c>
      <c r="T14" s="12" t="str">
        <f>CONCATENATE('1-Blade sections'!BT24,",",'1-Blade sections'!BU24,",",'1-Blade sections'!$A$33*1000)</f>
        <v>0,0,0</v>
      </c>
    </row>
    <row r="15" spans="1:20" x14ac:dyDescent="0.25">
      <c r="A15" s="5" t="str">
        <f>CONCATENATE('1-Blade sections'!O25,",",'1-Blade sections'!P25,",",'1-Blade sections'!$A$14*1000)</f>
        <v>-25.3708355789768,6.8065281080757,30</v>
      </c>
      <c r="B15" s="5" t="str">
        <f>CONCATENATE('1-Blade sections'!R25,",",'1-Blade sections'!S25,",",'1-Blade sections'!$A$15*1000)</f>
        <v>-32.5390780879958,-10.8384213659761,45</v>
      </c>
      <c r="C15" s="5" t="str">
        <f>CONCATENATE('1-Blade sections'!U25,",",'1-Blade sections'!V25,",",'1-Blade sections'!$A$16*1000)</f>
        <v>-32.7942572512895,-5.43632750847043,75.015</v>
      </c>
      <c r="D15" s="5" t="str">
        <f>CONCATENATE('1-Blade sections'!X25,",",'1-Blade sections'!Y25,",",'1-Blade sections'!$A$17*1000)</f>
        <v>-29.5828660559996,-1.91945085032254,104.985</v>
      </c>
      <c r="E15" s="12" t="str">
        <f>CONCATENATE('1-Blade sections'!AA25,",",'1-Blade sections'!AB25,",",'1-Blade sections'!$A$18*1000)</f>
        <v>-25.255470266508,0.201724324587008,135</v>
      </c>
      <c r="F15" s="11" t="str">
        <f>CONCATENATE('1-Blade sections'!AD25,",",'1-Blade sections'!AE25,",",'1-Blade sections'!$A$19*1000)</f>
        <v>-20.8158709840453,1.4145694701854,165.015</v>
      </c>
      <c r="G15" s="5" t="str">
        <f>CONCATENATE('1-Blade sections'!AG25,",",'1-Blade sections'!AH25,",",'1-Blade sections'!$A$20*1000)</f>
        <v>-20.0089293050417,1.7602783838979,194.985</v>
      </c>
      <c r="H15" s="4" t="str">
        <f>CONCATENATE('1-Blade sections'!AJ25,",",'1-Blade sections'!AK25,",",'1-Blade sections'!$A$21*1000)</f>
        <v>-18.1935583563346,2.28471399932462,225</v>
      </c>
      <c r="I15" s="19" t="str">
        <f>CONCATENATE('1-Blade sections'!AM25,",",'1-Blade sections'!AN25,",",'1-Blade sections'!$A$22*1000)</f>
        <v>-16.7129661972455,2.62543903636411,255.015</v>
      </c>
      <c r="J15" s="5" t="str">
        <f>CONCATENATE('1-Blade sections'!AP25,",",'1-Blade sections'!AQ25,",",'1-Blade sections'!$A$23*1000)</f>
        <v>-16.0070446083894,2.81027078035006,284.985</v>
      </c>
      <c r="K15" s="29" t="str">
        <f>CONCATENATE('1-Blade sections'!AS25,",",'1-Blade sections'!AT25,",",'1-Blade sections'!$A$24*1000)</f>
        <v>-14.9172972546037,2.84498763755767,315</v>
      </c>
      <c r="L15" s="5" t="str">
        <f>CONCATENATE('1-Blade sections'!AV25,",",'1-Blade sections'!AW25,",",'1-Blade sections'!$A$25*1000)</f>
        <v>-14.7014948528534,2.99042013373168,345.015</v>
      </c>
      <c r="M15" s="5" t="str">
        <f>CONCATENATE('1-Blade sections'!AY25,",",'1-Blade sections'!AZ25,",",'1-Blade sections'!$A$26*1000)</f>
        <v>-14.6699222707287,3.1416467108002,374.985</v>
      </c>
      <c r="N15" s="5" t="str">
        <f>CONCATENATE('1-Blade sections'!BB25,",",'1-Blade sections'!BC25,",",'1-Blade sections'!$A$27*1000)</f>
        <v>-14.6699222707287,3.1416467108002,405</v>
      </c>
      <c r="O15" s="5" t="str">
        <f>CONCATENATE('1-Blade sections'!BE25,",",'1-Blade sections'!BF25,",",'1-Blade sections'!$A$28*1000)</f>
        <v>-14.6453638237098,3.25420988196446,435.015</v>
      </c>
      <c r="P15" s="5" t="str">
        <f>CONCATENATE('1-Blade sections'!BH25,",",'1-Blade sections'!BI25,",",'1-Blade sections'!$A$29*1000)</f>
        <v>-14.6453638237098,3.25420988196446,450</v>
      </c>
      <c r="Q15" s="5" t="str">
        <f>CONCATENATE('1-Blade sections'!BK25,",",'1-Blade sections'!BL25,",",'1-Blade sections'!$A$30*1000)</f>
        <v>0,0,0</v>
      </c>
      <c r="R15" s="5" t="str">
        <f>CONCATENATE('1-Blade sections'!BN25,",",'1-Blade sections'!BO25,",",'1-Blade sections'!$A$31*1000)</f>
        <v>0,0,0</v>
      </c>
      <c r="S15" s="5" t="str">
        <f>CONCATENATE('1-Blade sections'!BQ25,",",'1-Blade sections'!BR25,",",'1-Blade sections'!$A$32*1000)</f>
        <v>0,0,0</v>
      </c>
      <c r="T15" s="12" t="str">
        <f>CONCATENATE('1-Blade sections'!BT25,",",'1-Blade sections'!BU25,",",'1-Blade sections'!$A$33*1000)</f>
        <v>0,0,0</v>
      </c>
    </row>
    <row r="16" spans="1:20" x14ac:dyDescent="0.25">
      <c r="A16" s="5" t="str">
        <f>CONCATENATE('1-Blade sections'!O26,",",'1-Blade sections'!P26,",",'1-Blade sections'!$A$14*1000)</f>
        <v>-26.3285988965572,1.70939427620698,30</v>
      </c>
      <c r="B16" s="5" t="str">
        <f>CONCATENATE('1-Blade sections'!R26,",",'1-Blade sections'!S26,",",'1-Blade sections'!$A$15*1000)</f>
        <v>-36.1352351887745,-14.0720802653443,45</v>
      </c>
      <c r="C16" s="5" t="str">
        <f>CONCATENATE('1-Blade sections'!U26,",",'1-Blade sections'!V26,",",'1-Blade sections'!$A$16*1000)</f>
        <v>-36.7276328430042,-7.98599247754355,75.015</v>
      </c>
      <c r="D16" s="4" t="str">
        <f>CONCATENATE('1-Blade sections'!X26,",",'1-Blade sections'!Y26,",",'1-Blade sections'!$A$17*1000)</f>
        <v>-33.2991435733817,-3.83360966825389,104.985</v>
      </c>
      <c r="E16" s="11" t="str">
        <f>CONCATENATE('1-Blade sections'!AA26,",",'1-Blade sections'!AB26,",",'1-Blade sections'!$A$18*1000)</f>
        <v>-28.5317745866324,-1.19450998036847,135</v>
      </c>
      <c r="F16" s="11" t="str">
        <f>CONCATENATE('1-Blade sections'!AD26,",",'1-Blade sections'!AE26,",",'1-Blade sections'!$A$19*1000)</f>
        <v>-23.5865423788917,0.425152736255793,165.015</v>
      </c>
      <c r="G16" s="5" t="str">
        <f>CONCATENATE('1-Blade sections'!AG26,",",'1-Blade sections'!AH26,",",'1-Blade sections'!$A$20*1000)</f>
        <v>-22.6947512361138,0.860998299120896,194.985</v>
      </c>
      <c r="H16" s="4" t="str">
        <f>CONCATENATE('1-Blade sections'!AJ26,",",'1-Blade sections'!AK26,",",'1-Blade sections'!$A$21*1000)</f>
        <v>-20.6742297705651,1.55546748238013,225</v>
      </c>
      <c r="I16" s="19" t="str">
        <f>CONCATENATE('1-Blade sections'!AM26,",",'1-Blade sections'!AN26,",",'1-Blade sections'!$A$22*1000)</f>
        <v>-19.0214201608153,2.02362284995597,255.015</v>
      </c>
      <c r="J16" s="5" t="str">
        <f>CONCATENATE('1-Blade sections'!AP26,",",'1-Blade sections'!AQ26,",",'1-Blade sections'!$A$23*1000)</f>
        <v>-18.2346485307983,2.27210442438538,284.985</v>
      </c>
      <c r="K16" s="29" t="str">
        <f>CONCATENATE('1-Blade sections'!AS26,",",'1-Blade sections'!AT26,",",'1-Blade sections'!$A$24*1000)</f>
        <v>-17.0059773867404,2.37268067437207,315</v>
      </c>
      <c r="L16" s="5" t="str">
        <f>CONCATENATE('1-Blade sections'!AV26,",",'1-Blade sections'!AW26,",",'1-Blade sections'!$A$25*1000)</f>
        <v>-16.7704670862847,2.54906754938846,345.015</v>
      </c>
      <c r="M16" s="5" t="str">
        <f>CONCATENATE('1-Blade sections'!AY26,",",'1-Blade sections'!AZ26,",",'1-Blade sections'!$A$26*1000)</f>
        <v>-16.7433295335684,2.72162227244,374.985</v>
      </c>
      <c r="N16" s="5" t="str">
        <f>CONCATENATE('1-Blade sections'!BB26,",",'1-Blade sections'!BC26,",",'1-Blade sections'!$A$27*1000)</f>
        <v>-16.7433295335684,2.72162227244,405</v>
      </c>
      <c r="O16" s="5" t="str">
        <f>CONCATENATE('1-Blade sections'!BE26,",",'1-Blade sections'!BF26,",",'1-Blade sections'!$A$28*1000)</f>
        <v>-16.721935472787,2.85012029701437,435.015</v>
      </c>
      <c r="P16" s="5" t="str">
        <f>CONCATENATE('1-Blade sections'!BH26,",",'1-Blade sections'!BI26,",",'1-Blade sections'!$A$29*1000)</f>
        <v>-16.721935472787,2.85012029701437,450</v>
      </c>
      <c r="Q16" s="5" t="str">
        <f>CONCATENATE('1-Blade sections'!BK26,",",'1-Blade sections'!BL26,",",'1-Blade sections'!$A$30*1000)</f>
        <v>0,0,0</v>
      </c>
      <c r="R16" s="5" t="str">
        <f>CONCATENATE('1-Blade sections'!BN26,",",'1-Blade sections'!BO26,",",'1-Blade sections'!$A$31*1000)</f>
        <v>0,0,0</v>
      </c>
      <c r="S16" s="5" t="str">
        <f>CONCATENATE('1-Blade sections'!BQ26,",",'1-Blade sections'!BR26,",",'1-Blade sections'!$A$32*1000)</f>
        <v>0,0,0</v>
      </c>
      <c r="T16" s="12" t="str">
        <f>CONCATENATE('1-Blade sections'!BT26,",",'1-Blade sections'!BU26,",",'1-Blade sections'!$A$33*1000)</f>
        <v>0,0,0</v>
      </c>
    </row>
    <row r="17" spans="1:20" x14ac:dyDescent="0.25">
      <c r="A17" s="5" t="str">
        <f>CONCATENATE('1-Blade sections'!O27,",",'1-Blade sections'!P27,",",'1-Blade sections'!$A$14*1000)</f>
        <v>-26.2960963132726,-3.47643238059758,30</v>
      </c>
      <c r="B17" s="5" t="str">
        <f>CONCATENATE('1-Blade sections'!R27,",",'1-Blade sections'!S27,",",'1-Blade sections'!$A$15*1000)</f>
        <v>-37.7819580189745,-15.9313177478285,45</v>
      </c>
      <c r="C17" s="5" t="str">
        <f>CONCATENATE('1-Blade sections'!U27,",",'1-Blade sections'!V27,",",'1-Blade sections'!$A$16*1000)</f>
        <v>-38.5862255407256,-9.51585223485494,75.015</v>
      </c>
      <c r="D17" s="5" t="str">
        <f>CONCATENATE('1-Blade sections'!X27,",",'1-Blade sections'!Y27,",",'1-Blade sections'!$A$17*1000)</f>
        <v>-35.0839482889017,-5.02657251986059,104.985</v>
      </c>
      <c r="E17" s="12" t="str">
        <f>CONCATENATE('1-Blade sections'!AA27,",",'1-Blade sections'!AB27,",",'1-Blade sections'!$A$18*1000)</f>
        <v>-30.1222279790444,-2.09760037516008,135</v>
      </c>
      <c r="F17" s="11" t="str">
        <f>CONCATENATE('1-Blade sections'!AD27,",",'1-Blade sections'!AE27,",",'1-Blade sections'!$A$19*1000)</f>
        <v>-24.9426759279563,-0.240935492510917,165.015</v>
      </c>
      <c r="G17" s="5" t="str">
        <f>CONCATENATE('1-Blade sections'!AG27,",",'1-Blade sections'!AH27,",",'1-Blade sections'!$A$20*1000)</f>
        <v>-24.0128366717689,0.245839647609033,194.985</v>
      </c>
      <c r="H17" s="4" t="str">
        <f>CONCATENATE('1-Blade sections'!AJ27,",",'1-Blade sections'!AK27,",",'1-Blade sections'!$A$21*1000)</f>
        <v>-21.8975341395286,1.03900642353935,225</v>
      </c>
      <c r="I17" s="19" t="str">
        <f>CONCATENATE('1-Blade sections'!AM27,",",'1-Blade sections'!AN27,",",'1-Blade sections'!$A$22*1000)</f>
        <v>-20.1642679278278,1.58220477713777,255.015</v>
      </c>
      <c r="J17" s="5" t="str">
        <f>CONCATENATE('1-Blade sections'!AP27,",",'1-Blade sections'!AQ27,",",'1-Blade sections'!$A$23*1000)</f>
        <v>-19.3399473998481,1.86786846683929,284.985</v>
      </c>
      <c r="K17" s="29" t="str">
        <f>CONCATENATE('1-Blade sections'!AS27,",",'1-Blade sections'!AT27,",",'1-Blade sections'!$A$24*1000)</f>
        <v>-18.0442242405557,2.01013397949453,315</v>
      </c>
      <c r="L17" s="5" t="str">
        <f>CONCATENATE('1-Blade sections'!AV27,",",'1-Blade sections'!AW27,",",'1-Blade sections'!$A$25*1000)</f>
        <v>-17.8004595889147,2.20346204713191,345.015</v>
      </c>
      <c r="M17" s="5" t="str">
        <f>CONCATENATE('1-Blade sections'!AY27,",",'1-Blade sections'!AZ27,",",'1-Blade sections'!$A$26*1000)</f>
        <v>-17.7768262177789,2.38664119478069,374.985</v>
      </c>
      <c r="N17" s="5" t="str">
        <f>CONCATENATE('1-Blade sections'!BB27,",",'1-Blade sections'!BC27,",",'1-Blade sections'!$A$27*1000)</f>
        <v>-17.7768262177789,2.38664119478069,405</v>
      </c>
      <c r="O17" s="5" t="str">
        <f>CONCATENATE('1-Blade sections'!BE27,",",'1-Blade sections'!BF27,",",'1-Blade sections'!$A$28*1000)</f>
        <v>-17.757974127185,2.52308570364998,435.015</v>
      </c>
      <c r="P17" s="5" t="str">
        <f>CONCATENATE('1-Blade sections'!BH27,",",'1-Blade sections'!BI27,",",'1-Blade sections'!$A$29*1000)</f>
        <v>-17.757974127185,2.52308570364998,450</v>
      </c>
      <c r="Q17" s="5" t="str">
        <f>CONCATENATE('1-Blade sections'!BK27,",",'1-Blade sections'!BL27,",",'1-Blade sections'!$A$30*1000)</f>
        <v>0,0,0</v>
      </c>
      <c r="R17" s="5" t="str">
        <f>CONCATENATE('1-Blade sections'!BN27,",",'1-Blade sections'!BO27,",",'1-Blade sections'!$A$31*1000)</f>
        <v>0,0,0</v>
      </c>
      <c r="S17" s="5" t="str">
        <f>CONCATENATE('1-Blade sections'!BQ27,",",'1-Blade sections'!BR27,",",'1-Blade sections'!$A$32*1000)</f>
        <v>0,0,0</v>
      </c>
      <c r="T17" s="12" t="str">
        <f>CONCATENATE('1-Blade sections'!BT27,",",'1-Blade sections'!BU27,",",'1-Blade sections'!$A$33*1000)</f>
        <v>0,0,0</v>
      </c>
    </row>
    <row r="18" spans="1:20" x14ac:dyDescent="0.25">
      <c r="A18" s="5" t="str">
        <f>CONCATENATE('1-Blade sections'!O28,",",'1-Blade sections'!P28,",",'1-Blade sections'!$A$14*1000)</f>
        <v>-25.2746529568746,-8.5609926188963,30</v>
      </c>
      <c r="B18" s="5" t="str">
        <f>CONCATENATE('1-Blade sections'!R28,",",'1-Blade sections'!S28,",",'1-Blade sections'!$A$15*1000)</f>
        <v>-39.2924607010041,-18.0087224598326,45</v>
      </c>
      <c r="C18" s="5" t="str">
        <f>CONCATENATE('1-Blade sections'!U28,",",'1-Blade sections'!V28,",",'1-Blade sections'!$A$16*1000)</f>
        <v>-40.3475326501245,-11.2752365376637,75.015</v>
      </c>
      <c r="D18" s="4" t="str">
        <f>CONCATENATE('1-Blade sections'!X28,",",'1-Blade sections'!Y28,",",'1-Blade sections'!$A$17*1000)</f>
        <v>-36.8027523655677,-6.43183046984423,104.985</v>
      </c>
      <c r="E18" s="11" t="str">
        <f>CONCATENATE('1-Blade sections'!AA28,",",'1-Blade sections'!AB28,",",'1-Blade sections'!$A$18*1000)</f>
        <v>-31.6697524805715,-3.18516668803418,135</v>
      </c>
      <c r="F18" s="11" t="str">
        <f>CONCATENATE('1-Blade sections'!AD28,",",'1-Blade sections'!AE28,",",'1-Blade sections'!$A$19*1000)</f>
        <v>-26.272527543498,-1.06126559689934,165.015</v>
      </c>
      <c r="G18" s="5" t="str">
        <f>CONCATENATE('1-Blade sections'!AG28,",",'1-Blade sections'!AH28,",",'1-Blade sections'!$A$20*1000)</f>
        <v>-25.3085791305312,-0.518285752113856,194.985</v>
      </c>
      <c r="H18" s="4" t="str">
        <f>CONCATENATE('1-Blade sections'!AJ28,",",'1-Blade sections'!AK28,",",'1-Blade sections'!$A$21*1000)</f>
        <v>-23.1055103041554,0.385891344366866,225</v>
      </c>
      <c r="I18" s="19" t="str">
        <f>CONCATENATE('1-Blade sections'!AM28,",",'1-Blade sections'!AN28,",",'1-Blade sections'!$A$22*1000)</f>
        <v>-21.2968744015452,1.01432772266685,255.015</v>
      </c>
      <c r="J18" s="5" t="str">
        <f>CONCATENATE('1-Blade sections'!AP28,",",'1-Blade sections'!AQ28,",",'1-Blade sections'!$A$23*1000)</f>
        <v>-20.4375934859587,1.34199500768581,284.985</v>
      </c>
      <c r="K18" s="29" t="str">
        <f>CONCATENATE('1-Blade sections'!AS28,",",'1-Blade sections'!AT28,",",'1-Blade sections'!$A$24*1000)</f>
        <v>-19.0769872033433,1.53383339266074,315</v>
      </c>
      <c r="L18" s="5" t="str">
        <f>CONCATENATE('1-Blade sections'!AV28,",",'1-Blade sections'!AW28,",",'1-Blade sections'!$A$25*1000)</f>
        <v>-18.8264078388676,1.7454202557989,345.015</v>
      </c>
      <c r="M18" s="5" t="str">
        <f>CONCATENATE('1-Blade sections'!AY28,",",'1-Blade sections'!AZ28,",",'1-Blade sections'!$A$26*1000)</f>
        <v>-18.8074366495011,1.93918814449009,374.985</v>
      </c>
      <c r="N18" s="5" t="str">
        <f>CONCATENATE('1-Blade sections'!BB28,",",'1-Blade sections'!BC28,",",'1-Blade sections'!$A$27*1000)</f>
        <v>-18.8074366495011,1.93918814449009,405</v>
      </c>
      <c r="O18" s="5" t="str">
        <f>CONCATENATE('1-Blade sections'!BE28,",",'1-Blade sections'!BF28,",",'1-Blade sections'!$A$28*1000)</f>
        <v>-18.7919903284567,2.08356028948516,435.015</v>
      </c>
      <c r="P18" s="5" t="str">
        <f>CONCATENATE('1-Blade sections'!BH28,",",'1-Blade sections'!BI28,",",'1-Blade sections'!$A$29*1000)</f>
        <v>-18.7919903284567,2.08356028948516,450</v>
      </c>
      <c r="Q18" s="5" t="str">
        <f>CONCATENATE('1-Blade sections'!BK28,",",'1-Blade sections'!BL28,",",'1-Blade sections'!$A$30*1000)</f>
        <v>0,0,0</v>
      </c>
      <c r="R18" s="5" t="str">
        <f>CONCATENATE('1-Blade sections'!BN28,",",'1-Blade sections'!BO28,",",'1-Blade sections'!$A$31*1000)</f>
        <v>0,0,0</v>
      </c>
      <c r="S18" s="5" t="str">
        <f>CONCATENATE('1-Blade sections'!BQ28,",",'1-Blade sections'!BR28,",",'1-Blade sections'!$A$32*1000)</f>
        <v>0,0,0</v>
      </c>
      <c r="T18" s="12" t="str">
        <f>CONCATENATE('1-Blade sections'!BT28,",",'1-Blade sections'!BU28,",",'1-Blade sections'!$A$33*1000)</f>
        <v>0,0,0</v>
      </c>
    </row>
    <row r="19" spans="1:20" x14ac:dyDescent="0.25">
      <c r="A19" s="5" t="str">
        <f>CONCATENATE('1-Blade sections'!O29,",",'1-Blade sections'!P29,",",'1-Blade sections'!$A$14*1000)</f>
        <v>-23.3013095390204,-13.3572043035395,30</v>
      </c>
      <c r="B19" s="5" t="str">
        <f>CONCATENATE('1-Blade sections'!R29,",",'1-Blade sections'!S29,",",'1-Blade sections'!$A$15*1000)</f>
        <v>-40.5809749934229,-20.4416589532769,45</v>
      </c>
      <c r="C19" s="5" t="str">
        <f>CONCATENATE('1-Blade sections'!U29,",",'1-Blade sections'!V29,",",'1-Blade sections'!$A$16*1000)</f>
        <v>-41.9503002822573,-13.4086608405421,75.015</v>
      </c>
      <c r="D19" s="5" t="str">
        <f>CONCATENATE('1-Blade sections'!X29,",",'1-Blade sections'!Y29,",",'1-Blade sections'!$A$17*1000)</f>
        <v>-38.4139998455829,-8.18305080236805,104.985</v>
      </c>
      <c r="E19" s="12" t="str">
        <f>CONCATENATE('1-Blade sections'!AA29,",",'1-Blade sections'!AB29,",",'1-Blade sections'!$A$18*1000)</f>
        <v>-33.147318789545,-4.57336042296863,135</v>
      </c>
      <c r="F19" s="11" t="str">
        <f>CONCATENATE('1-Blade sections'!AD29,",",'1-Blade sections'!AE29,",",'1-Blade sections'!$A$19*1000)</f>
        <v>-27.5595493414471,-2.13295283193056,165.015</v>
      </c>
      <c r="G19" s="5" t="str">
        <f>CONCATENATE('1-Blade sections'!AG29,",",'1-Blade sections'!AH29,",",'1-Blade sections'!$A$20*1000)</f>
        <v>-26.5679108121348,-1.52517177855101,194.985</v>
      </c>
      <c r="H19" s="4" t="str">
        <f>CONCATENATE('1-Blade sections'!AJ29,",",'1-Blade sections'!AK29,",",'1-Blade sections'!$A$21*1000)</f>
        <v>-24.2885071728262,-0.48991917534615,225</v>
      </c>
      <c r="I19" s="19" t="str">
        <f>CONCATENATE('1-Blade sections'!AM29,",",'1-Blade sections'!AN29,",",'1-Blade sections'!$A$22*1000)</f>
        <v>-22.412791360263,0.240369364761877,255.015</v>
      </c>
      <c r="J19" s="5" t="str">
        <f>CONCATENATE('1-Blade sections'!AP29,",",'1-Blade sections'!AQ29,",",'1-Blade sections'!$A$23*1000)</f>
        <v>-21.5227683702425,0.617897471838822,284.985</v>
      </c>
      <c r="K19" s="29" t="str">
        <f>CONCATENATE('1-Blade sections'!AS29,",",'1-Blade sections'!AT29,",",'1-Blade sections'!$A$24*1000)</f>
        <v>-20.1008134548264,0.872156093009338,315</v>
      </c>
      <c r="L19" s="5" t="str">
        <f>CONCATENATE('1-Blade sections'!AV29,",",'1-Blade sections'!AW29,",",'1-Blade sections'!$A$25*1000)</f>
        <v>-19.8457654548282,1.10414895634129,345.015</v>
      </c>
      <c r="M19" s="5" t="str">
        <f>CONCATENATE('1-Blade sections'!AY29,",",'1-Blade sections'!AZ29,",",'1-Blade sections'!$A$26*1000)</f>
        <v>-19.8333435586497,1.30844743509665,374.985</v>
      </c>
      <c r="N19" s="5" t="str">
        <f>CONCATENATE('1-Blade sections'!BB29,",",'1-Blade sections'!BC29,",",'1-Blade sections'!$A$27*1000)</f>
        <v>-19.8333435586497,1.30844743509665,405</v>
      </c>
      <c r="O19" s="5" t="str">
        <f>CONCATENATE('1-Blade sections'!BE29,",",'1-Blade sections'!BF29,",",'1-Blade sections'!$A$28*1000)</f>
        <v>-19.822710680189,1.46071650068263,435.015</v>
      </c>
      <c r="P19" s="5" t="str">
        <f>CONCATENATE('1-Blade sections'!BH29,",",'1-Blade sections'!BI29,",",'1-Blade sections'!$A$29*1000)</f>
        <v>-19.822710680189,1.46071650068263,450</v>
      </c>
      <c r="Q19" s="5" t="str">
        <f>CONCATENATE('1-Blade sections'!BK29,",",'1-Blade sections'!BL29,",",'1-Blade sections'!$A$30*1000)</f>
        <v>0,0,0</v>
      </c>
      <c r="R19" s="5" t="str">
        <f>CONCATENATE('1-Blade sections'!BN29,",",'1-Blade sections'!BO29,",",'1-Blade sections'!$A$31*1000)</f>
        <v>0,0,0</v>
      </c>
      <c r="S19" s="5" t="str">
        <f>CONCATENATE('1-Blade sections'!BQ29,",",'1-Blade sections'!BR29,",",'1-Blade sections'!$A$32*1000)</f>
        <v>0,0,0</v>
      </c>
      <c r="T19" s="12" t="str">
        <f>CONCATENATE('1-Blade sections'!BT29,",",'1-Blade sections'!BU29,",",'1-Blade sections'!$A$33*1000)</f>
        <v>0,0,0</v>
      </c>
    </row>
    <row r="20" spans="1:20" x14ac:dyDescent="0.25">
      <c r="A20" s="5" t="str">
        <f>CONCATENATE('1-Blade sections'!O30,",",'1-Blade sections'!P30,",",'1-Blade sections'!$A$14*1000)</f>
        <v>-20.4495047389541,-17.6888774415385,30</v>
      </c>
      <c r="B20" s="5" t="str">
        <f>CONCATENATE('1-Blade sections'!R30,",",'1-Blade sections'!S30,",",'1-Blade sections'!$A$15*1000)</f>
        <v>-41.0360374893956,-21.961137240999,45</v>
      </c>
      <c r="C20" s="5" t="str">
        <f>CONCATENATE('1-Blade sections'!U30,",",'1-Blade sections'!V30,",",'1-Blade sections'!$A$16*1000)</f>
        <v>-42.6165652256537,-14.7941570829499,75.015</v>
      </c>
      <c r="D20" s="4" t="str">
        <f>CONCATENATE('1-Blade sections'!X30,",",'1-Blade sections'!Y30,",",'1-Blade sections'!$A$17*1000)</f>
        <v>-39.1279560316266,-9.35351527193125,104.985</v>
      </c>
      <c r="E20" s="11" t="str">
        <f>CONCATENATE('1-Blade sections'!AA30,",",'1-Blade sections'!AB30,",",'1-Blade sections'!$A$18*1000)</f>
        <v>-33.8264784844692,-5.52367384332821,135</v>
      </c>
      <c r="F20" s="11" t="str">
        <f>CONCATENATE('1-Blade sections'!AD30,",",'1-Blade sections'!AE30,",",'1-Blade sections'!$A$19*1000)</f>
        <v>-28.1665575549734,-2.88302127669855,165.015</v>
      </c>
      <c r="G20" s="5" t="str">
        <f>CONCATENATE('1-Blade sections'!AG30,",",'1-Blade sections'!AH30,",",'1-Blade sections'!$A$20*1000)</f>
        <v>-27.1665447405854,-2.23551305317379,194.985</v>
      </c>
      <c r="H20" s="4" t="str">
        <f>CONCATENATE('1-Blade sections'!AJ30,",",'1-Blade sections'!AK30,",",'1-Blade sections'!$A$21*1000)</f>
        <v>-24.8587164344719,-1.11762168566334,225</v>
      </c>
      <c r="I20" s="19" t="str">
        <f>CONCATENATE('1-Blade sections'!AM30,",",'1-Blade sections'!AN30,",",'1-Blade sections'!$A$22*1000)</f>
        <v>-22.9565258211564,-0.322247288708275,255.015</v>
      </c>
      <c r="J20" s="5" t="str">
        <f>CONCATENATE('1-Blade sections'!AP30,",",'1-Blade sections'!AQ30,",",'1-Blade sections'!$A$23*1000)</f>
        <v>-22.0547269471911,0.0869077294606332,284.985</v>
      </c>
      <c r="K20" s="29" t="str">
        <f>CONCATENATE('1-Blade sections'!AS30,",",'1-Blade sections'!AT30,",",'1-Blade sections'!$A$24*1000)</f>
        <v>-20.6051100652517,0.383325926577724,315</v>
      </c>
      <c r="L20" s="5" t="str">
        <f>CONCATENATE('1-Blade sections'!AV30,",",'1-Blade sections'!AW30,",",'1-Blade sections'!$A$25*1000)</f>
        <v>-20.3498272452015,0.627351794006305,345.015</v>
      </c>
      <c r="M20" s="5" t="str">
        <f>CONCATENATE('1-Blade sections'!AY30,",",'1-Blade sections'!AZ30,",",'1-Blade sections'!$A$26*1000)</f>
        <v>-20.3422883292125,0.836866007300915,374.985</v>
      </c>
      <c r="N20" s="5" t="str">
        <f>CONCATENATE('1-Blade sections'!BB30,",",'1-Blade sections'!BC30,",",'1-Blade sections'!$A$27*1000)</f>
        <v>-20.3422883292125,0.836866007300915,405</v>
      </c>
      <c r="O20" s="5" t="str">
        <f>CONCATENATE('1-Blade sections'!BE30,",",'1-Blade sections'!BF30,",",'1-Blade sections'!$A$28*1000)</f>
        <v>-20.3352618933795,0.993057355169678,435.015</v>
      </c>
      <c r="P20" s="5" t="str">
        <f>CONCATENATE('1-Blade sections'!BH30,",",'1-Blade sections'!BI30,",",'1-Blade sections'!$A$29*1000)</f>
        <v>-20.3352618933795,0.993057355169678,450</v>
      </c>
      <c r="Q20" s="5" t="str">
        <f>CONCATENATE('1-Blade sections'!BK30,",",'1-Blade sections'!BL30,",",'1-Blade sections'!$A$30*1000)</f>
        <v>0,0,0</v>
      </c>
      <c r="R20" s="5" t="str">
        <f>CONCATENATE('1-Blade sections'!BN30,",",'1-Blade sections'!BO30,",",'1-Blade sections'!$A$31*1000)</f>
        <v>0,0,0</v>
      </c>
      <c r="S20" s="5" t="str">
        <f>CONCATENATE('1-Blade sections'!BQ30,",",'1-Blade sections'!BR30,",",'1-Blade sections'!$A$32*1000)</f>
        <v>0,0,0</v>
      </c>
      <c r="T20" s="12" t="str">
        <f>CONCATENATE('1-Blade sections'!BT30,",",'1-Blade sections'!BU30,",",'1-Blade sections'!$A$33*1000)</f>
        <v>0,0,0</v>
      </c>
    </row>
    <row r="21" spans="1:20" x14ac:dyDescent="0.25">
      <c r="A21" s="5" t="str">
        <f>CONCATENATE('1-Blade sections'!O31,",",'1-Blade sections'!P31,",",'1-Blade sections'!$A$14*1000)</f>
        <v>-16.8235542847906,-21.3966637222816,30</v>
      </c>
      <c r="B21" s="5" t="str">
        <f>CONCATENATE('1-Blade sections'!R31,",",'1-Blade sections'!S31,",",'1-Blade sections'!$A$15*1000)</f>
        <v>-40.3609772746217,-25.2905955069614,45</v>
      </c>
      <c r="C21" s="5" t="str">
        <f>CONCATENATE('1-Blade sections'!U31,",",'1-Blade sections'!V31,",",'1-Blade sections'!$A$16*1000)</f>
        <v>-42.4757201029677,-18.0838569620764,75.015</v>
      </c>
      <c r="D21" s="5" t="str">
        <f>CONCATENATE('1-Blade sections'!X31,",",'1-Blade sections'!Y31,",",'1-Blade sections'!$A$17*1000)</f>
        <v>-39.2943513619931,-12.2852427798808,104.985</v>
      </c>
      <c r="E21" s="12" t="str">
        <f>CONCATENATE('1-Blade sections'!AA31,",",'1-Blade sections'!AB31,",",'1-Blade sections'!$A$18*1000)</f>
        <v>-34.1494873809394,-8.00445413963139,135</v>
      </c>
      <c r="F21" s="11" t="str">
        <f>CONCATENATE('1-Blade sections'!AD31,",",'1-Blade sections'!AE31,",",'1-Blade sections'!$A$19*1000)</f>
        <v>-28.5555230607551,-4.91272602292076,165.015</v>
      </c>
      <c r="G21" s="5" t="str">
        <f>CONCATENATE('1-Blade sections'!AG31,",",'1-Blade sections'!AH31,",",'1-Blade sections'!$A$20*1000)</f>
        <v>-27.579814712592,-4.181726609251,194.985</v>
      </c>
      <c r="H21" s="4" t="str">
        <f>CONCATENATE('1-Blade sections'!AJ31,",",'1-Blade sections'!AK31,",",'1-Blade sections'!$A$21*1000)</f>
        <v>-25.3017583712508,-2.87904643873236,225</v>
      </c>
      <c r="I21" s="19" t="str">
        <f>CONCATENATE('1-Blade sections'!AM31,",",'1-Blade sections'!AN31,",",'1-Blade sections'!$A$22*1000)</f>
        <v>-23.4152954784159,-1.93400512329727,255.015</v>
      </c>
      <c r="J21" s="5" t="str">
        <f>CONCATENATE('1-Blade sections'!AP31,",",'1-Blade sections'!AQ31,",",'1-Blade sections'!$A$23*1000)</f>
        <v>-22.5231957693848,-1.4532227669936,284.985</v>
      </c>
      <c r="K21" s="29" t="str">
        <f>CONCATENATE('1-Blade sections'!AS31,",",'1-Blade sections'!AT31,",",'1-Blade sections'!$A$24*1000)</f>
        <v>-21.0639106908544,-1.04924023237988,315</v>
      </c>
      <c r="L21" s="5" t="str">
        <f>CONCATENATE('1-Blade sections'!AV31,",",'1-Blade sections'!AW31,",",'1-Blade sections'!$A$25*1000)</f>
        <v>-20.8203367170687,-0.782250136962968,345.015</v>
      </c>
      <c r="M21" s="5" t="str">
        <f>CONCATENATE('1-Blade sections'!AY31,",",'1-Blade sections'!AZ31,",",'1-Blade sections'!$A$26*1000)</f>
        <v>-20.8272878939459,-0.567816230472923,374.985</v>
      </c>
      <c r="N21" s="5" t="str">
        <f>CONCATENATE('1-Blade sections'!BB31,",",'1-Blade sections'!BC31,",",'1-Blade sections'!$A$27*1000)</f>
        <v>-20.8272878939459,-0.567816230472923,405</v>
      </c>
      <c r="O21" s="5" t="str">
        <f>CONCATENATE('1-Blade sections'!BE31,",",'1-Blade sections'!BF31,",",'1-Blade sections'!$A$28*1000)</f>
        <v>-20.8310342361878,-0.4078589703171,435.015</v>
      </c>
      <c r="P21" s="5" t="str">
        <f>CONCATENATE('1-Blade sections'!BH31,",",'1-Blade sections'!BI31,",",'1-Blade sections'!$A$29*1000)</f>
        <v>-20.8310342361878,-0.4078589703171,450</v>
      </c>
      <c r="Q21" s="5" t="str">
        <f>CONCATENATE('1-Blade sections'!BK31,",",'1-Blade sections'!BL31,",",'1-Blade sections'!$A$30*1000)</f>
        <v>0,0,0</v>
      </c>
      <c r="R21" s="5" t="str">
        <f>CONCATENATE('1-Blade sections'!BN31,",",'1-Blade sections'!BO31,",",'1-Blade sections'!$A$31*1000)</f>
        <v>0,0,0</v>
      </c>
      <c r="S21" s="5" t="str">
        <f>CONCATENATE('1-Blade sections'!BQ31,",",'1-Blade sections'!BR31,",",'1-Blade sections'!$A$32*1000)</f>
        <v>0,0,0</v>
      </c>
      <c r="T21" s="12" t="str">
        <f>CONCATENATE('1-Blade sections'!BT31,",",'1-Blade sections'!BU31,",",'1-Blade sections'!$A$33*1000)</f>
        <v>0,0,0</v>
      </c>
    </row>
    <row r="22" spans="1:20" x14ac:dyDescent="0.25">
      <c r="A22" s="5" t="str">
        <f>CONCATENATE('1-Blade sections'!O32,",",'1-Blade sections'!P32,",",'1-Blade sections'!$A$14*1000)</f>
        <v>-12.5566140346287,-24.3450245171934,30</v>
      </c>
      <c r="B22" s="5" t="str">
        <f>CONCATENATE('1-Blade sections'!R32,",",'1-Blade sections'!S32,",",'1-Blade sections'!$A$15*1000)</f>
        <v>-38.5739844409832,-25.9043079078796,45</v>
      </c>
      <c r="C22" s="5" t="str">
        <f>CONCATENATE('1-Blade sections'!U32,",",'1-Blade sections'!V32,",",'1-Blade sections'!$A$16*1000)</f>
        <v>-40.8582182959744,-18.942600720087,75.015</v>
      </c>
      <c r="D22" s="4" t="str">
        <f>CONCATENATE('1-Blade sections'!X32,",",'1-Blade sections'!Y32,",",'1-Blade sections'!$A$17*1000)</f>
        <v>-37.935055596044,-13.1905526055587,104.985</v>
      </c>
      <c r="E22" s="11" t="str">
        <f>CONCATENATE('1-Blade sections'!AA32,",",'1-Blade sections'!AB32,",",'1-Blade sections'!$A$18*1000)</f>
        <v>-33.0505785306945,-8.85790525163393,135</v>
      </c>
      <c r="F22" s="11" t="str">
        <f>CONCATENATE('1-Blade sections'!AD32,",",'1-Blade sections'!AE32,",",'1-Blade sections'!$A$19*1000)</f>
        <v>-27.6915359416728,-5.67080036200953,165.015</v>
      </c>
      <c r="G22" s="5" t="str">
        <f>CONCATENATE('1-Blade sections'!AG32,",",'1-Blade sections'!AH32,",",'1-Blade sections'!$A$20*1000)</f>
        <v>-26.7627161211893,-4.9279490949138,194.985</v>
      </c>
      <c r="H22" s="4" t="str">
        <f>CONCATENATE('1-Blade sections'!AJ32,",",'1-Blade sections'!AK32,",",'1-Blade sections'!$A$21*1000)</f>
        <v>-24.5816733338692,-3.58751657165838,225</v>
      </c>
      <c r="I22" s="19" t="str">
        <f>CONCATENATE('1-Blade sections'!AM32,",",'1-Blade sections'!AN32,",",'1-Blade sections'!$A$22*1000)</f>
        <v>-22.7714239275254,-2.60787629043148,255.015</v>
      </c>
      <c r="J22" s="5" t="str">
        <f>CONCATENATE('1-Blade sections'!AP32,",",'1-Blade sections'!AQ32,",",'1-Blade sections'!$A$23*1000)</f>
        <v>-21.9164099814753,-2.11157748477647,284.985</v>
      </c>
      <c r="K22" s="29" t="str">
        <f>CONCATENATE('1-Blade sections'!AS32,",",'1-Blade sections'!AT32,",",'1-Blade sections'!$A$24*1000)</f>
        <v>-20.5059938126025,-1.67267034285391,315</v>
      </c>
      <c r="L22" s="5" t="str">
        <f>CONCATENATE('1-Blade sections'!AV32,",",'1-Blade sections'!AW32,",",'1-Blade sections'!$A$25*1000)</f>
        <v>-20.2767311227417,-1.40483002337553,345.015</v>
      </c>
      <c r="M22" s="5" t="str">
        <f>CONCATENATE('1-Blade sections'!AY32,",",'1-Blade sections'!AZ32,",",'1-Blade sections'!$A$26*1000)</f>
        <v>-20.2901219879416,-1.19596075729424,374.985</v>
      </c>
      <c r="N22" s="5" t="str">
        <f>CONCATENATE('1-Blade sections'!BB32,",",'1-Blade sections'!BC32,",",'1-Blade sections'!$A$27*1000)</f>
        <v>-20.2901219879416,-1.19596075729424,405</v>
      </c>
      <c r="O22" s="5" t="str">
        <f>CONCATENATE('1-Blade sections'!BE32,",",'1-Blade sections'!BF32,",",'1-Blade sections'!$A$28*1000)</f>
        <v>-20.298707925761,-1.04011007263044,435.015</v>
      </c>
      <c r="P22" s="5" t="str">
        <f>CONCATENATE('1-Blade sections'!BH32,",",'1-Blade sections'!BI32,",",'1-Blade sections'!$A$29*1000)</f>
        <v>-20.298707925761,-1.04011007263044,450</v>
      </c>
      <c r="Q22" s="5" t="str">
        <f>CONCATENATE('1-Blade sections'!BK32,",",'1-Blade sections'!BL32,",",'1-Blade sections'!$A$30*1000)</f>
        <v>0,0,0</v>
      </c>
      <c r="R22" s="5" t="str">
        <f>CONCATENATE('1-Blade sections'!BN32,",",'1-Blade sections'!BO32,",",'1-Blade sections'!$A$31*1000)</f>
        <v>0,0,0</v>
      </c>
      <c r="S22" s="5" t="str">
        <f>CONCATENATE('1-Blade sections'!BQ32,",",'1-Blade sections'!BR32,",",'1-Blade sections'!$A$32*1000)</f>
        <v>0,0,0</v>
      </c>
      <c r="T22" s="12" t="str">
        <f>CONCATENATE('1-Blade sections'!BT32,",",'1-Blade sections'!BU32,",",'1-Blade sections'!$A$33*1000)</f>
        <v>0,0,0</v>
      </c>
    </row>
    <row r="23" spans="1:20" x14ac:dyDescent="0.25">
      <c r="A23" s="5" t="str">
        <f>CONCATENATE('1-Blade sections'!O33,",",'1-Blade sections'!P33,",",'1-Blade sections'!$A$14*1000)</f>
        <v>-7.80578088126453,-26.4243283588731,30</v>
      </c>
      <c r="B23" s="5" t="str">
        <f>CONCATENATE('1-Blade sections'!R33,",",'1-Blade sections'!S33,",",'1-Blade sections'!$A$15*1000)</f>
        <v>-37.2057424332017,-25.8473580847176,45</v>
      </c>
      <c r="C23" s="5" t="str">
        <f>CONCATENATE('1-Blade sections'!U33,",",'1-Blade sections'!V33,",",'1-Blade sections'!$A$16*1000)</f>
        <v>-39.5397795938241,-19.0957690234207,75.015</v>
      </c>
      <c r="D23" s="5" t="str">
        <f>CONCATENATE('1-Blade sections'!X33,",",'1-Blade sections'!Y33,",",'1-Blade sections'!$A$17*1000)</f>
        <v>-36.7786506828682,-13.4432515732631,104.985</v>
      </c>
      <c r="E23" s="12" t="str">
        <f>CONCATENATE('1-Blade sections'!AA33,",",'1-Blade sections'!AB33,",",'1-Blade sections'!$A$18*1000)</f>
        <v>-32.0836362709481,-9.14426372656808,135</v>
      </c>
      <c r="F23" s="11" t="str">
        <f>CONCATENATE('1-Blade sections'!AD33,",",'1-Blade sections'!AE33,",",'1-Blade sections'!$A$19*1000)</f>
        <v>-26.9083414330494,-5.95472375011303,165.015</v>
      </c>
      <c r="G23" s="5" t="str">
        <f>CONCATENATE('1-Blade sections'!AG33,",",'1-Blade sections'!AH33,",",'1-Blade sections'!$A$20*1000)</f>
        <v>-26.0143014957905,-5.21623676200197,194.985</v>
      </c>
      <c r="H23" s="4" t="str">
        <f>CONCATENATE('1-Blade sections'!AJ33,",",'1-Blade sections'!AK33,",",'1-Blade sections'!$A$21*1000)</f>
        <v>-23.908708332041,-3.87590212356476,225</v>
      </c>
      <c r="I23" s="19" t="str">
        <f>CONCATENATE('1-Blade sections'!AM33,",",'1-Blade sections'!AN33,",",'1-Blade sections'!$A$22*1000)</f>
        <v>-22.1590348708385,-2.89300318063325,255.015</v>
      </c>
      <c r="J23" s="5" t="str">
        <f>CONCATENATE('1-Blade sections'!AP33,",",'1-Blade sections'!AQ33,",",'1-Blade sections'!$A$23*1000)</f>
        <v>-21.3331494151936,-2.39600951243295,284.985</v>
      </c>
      <c r="K23" s="29" t="str">
        <f>CONCATENATE('1-Blade sections'!AS33,",",'1-Blade sections'!AT33,",",'1-Blade sections'!$A$24*1000)</f>
        <v>-19.964934821584,-1.94641256324017,315</v>
      </c>
      <c r="L23" s="5" t="str">
        <f>CONCATENATE('1-Blade sections'!AV33,",",'1-Blade sections'!AW33,",",'1-Blade sections'!$A$25*1000)</f>
        <v>-19.7455578607184,-1.68177242855307,345.015</v>
      </c>
      <c r="M23" s="5" t="str">
        <f>CONCATENATE('1-Blade sections'!AY33,",",'1-Blade sections'!AZ33,",",'1-Blade sections'!$A$26*1000)</f>
        <v>-19.761828635883,-1.47835810898975,374.985</v>
      </c>
      <c r="N23" s="5" t="str">
        <f>CONCATENATE('1-Blade sections'!BB33,",",'1-Blade sections'!BC33,",",'1-Blade sections'!$A$27*1000)</f>
        <v>-19.761828635883,-1.47835810898975,405</v>
      </c>
      <c r="O23" s="5" t="str">
        <f>CONCATENATE('1-Blade sections'!BE33,",",'1-Blade sections'!BF33,",",'1-Blade sections'!$A$28*1000)</f>
        <v>-19.7725987860563,-1.32655605914991,435.015</v>
      </c>
      <c r="P23" s="5" t="str">
        <f>CONCATENATE('1-Blade sections'!BH33,",",'1-Blade sections'!BI33,",",'1-Blade sections'!$A$29*1000)</f>
        <v>-19.7725987860563,-1.32655605914991,450</v>
      </c>
      <c r="Q23" s="5" t="str">
        <f>CONCATENATE('1-Blade sections'!BK33,",",'1-Blade sections'!BL33,",",'1-Blade sections'!$A$30*1000)</f>
        <v>0,0,0</v>
      </c>
      <c r="R23" s="5" t="str">
        <f>CONCATENATE('1-Blade sections'!BN33,",",'1-Blade sections'!BO33,",",'1-Blade sections'!$A$31*1000)</f>
        <v>0,0,0</v>
      </c>
      <c r="S23" s="5" t="str">
        <f>CONCATENATE('1-Blade sections'!BQ33,",",'1-Blade sections'!BR33,",",'1-Blade sections'!$A$32*1000)</f>
        <v>0,0,0</v>
      </c>
      <c r="T23" s="12" t="str">
        <f>CONCATENATE('1-Blade sections'!BT33,",",'1-Blade sections'!BU33,",",'1-Blade sections'!$A$33*1000)</f>
        <v>0,0,0</v>
      </c>
    </row>
    <row r="24" spans="1:20" x14ac:dyDescent="0.25">
      <c r="A24" s="5" t="str">
        <f>CONCATENATE('1-Blade sections'!O34,",",'1-Blade sections'!P34,",",'1-Blade sections'!$A$14*1000)</f>
        <v>-2.74512816325082,-27.5591517226303,30</v>
      </c>
      <c r="B24" s="5" t="str">
        <f>CONCATENATE('1-Blade sections'!R34,",",'1-Blade sections'!S34,",",'1-Blade sections'!$A$15*1000)</f>
        <v>-34.7871054300363,-25.2244015695136,45</v>
      </c>
      <c r="C24" s="5" t="str">
        <f>CONCATENATE('1-Blade sections'!U34,",",'1-Blade sections'!V34,",",'1-Blade sections'!$A$16*1000)</f>
        <v>-37.129901895609,-18.8665483572609,75.015</v>
      </c>
      <c r="D24" s="4" t="str">
        <f>CONCATENATE('1-Blade sections'!X34,",",'1-Blade sections'!Y34,",",'1-Blade sections'!$A$17*1000)</f>
        <v>-34.6198423471758,-13.4532942791256,104.985</v>
      </c>
      <c r="E24" s="11" t="str">
        <f>CONCATENATE('1-Blade sections'!AA34,",",'1-Blade sections'!AB34,",",'1-Blade sections'!$A$18*1000)</f>
        <v>-30.2499191635206,-9.28653686757723,135</v>
      </c>
      <c r="F24" s="11" t="str">
        <f>CONCATENATE('1-Blade sections'!AD34,",",'1-Blade sections'!AE34,",",'1-Blade sections'!$A$19*1000)</f>
        <v>-25.4032769273558,-6.16267281653603,165.015</v>
      </c>
      <c r="G24" s="5" t="str">
        <f>CONCATENATE('1-Blade sections'!AG34,",",'1-Blade sections'!AH34,",",'1-Blade sections'!$A$20*1000)</f>
        <v>-24.5696058577428,-5.44522301701925,194.985</v>
      </c>
      <c r="H24" s="4" t="str">
        <f>CONCATENATE('1-Blade sections'!AJ34,",",'1-Blade sections'!AK34,",",'1-Blade sections'!$A$21*1000)</f>
        <v>-22.5985441385034,-4.13381384660356,225</v>
      </c>
      <c r="I24" s="19" t="str">
        <f>CONCATENATE('1-Blade sections'!AM34,",",'1-Blade sections'!AN34,",",'1-Blade sections'!$A$22*1000)</f>
        <v>-20.9581531084867,-3.16818600384712,255.015</v>
      </c>
      <c r="J24" s="5" t="str">
        <f>CONCATENATE('1-Blade sections'!AP34,",",'1-Blade sections'!AQ34,",",'1-Blade sections'!$A$23*1000)</f>
        <v>-20.184484776155,-2.68105273066201,284.985</v>
      </c>
      <c r="K24" s="29" t="str">
        <f>CONCATENATE('1-Blade sections'!AS34,",",'1-Blade sections'!AT34,",",'1-Blade sections'!$A$24*1000)</f>
        <v>-18.8956125852783,-2.22847125611477,315</v>
      </c>
      <c r="L24" s="5" t="str">
        <f>CONCATENATE('1-Blade sections'!AV34,",",'1-Blade sections'!AW34,",",'1-Blade sections'!$A$25*1000)</f>
        <v>-18.6926479262517,-1.97330589772975,345.015</v>
      </c>
      <c r="M24" s="5" t="str">
        <f>CONCATENATE('1-Blade sections'!AY34,",",'1-Blade sections'!AZ34,",",'1-Blade sections'!$A$26*1000)</f>
        <v>-18.7119765209052,-1.78071820957441,374.985</v>
      </c>
      <c r="N24" s="5" t="str">
        <f>CONCATENATE('1-Blade sections'!BB34,",",'1-Blade sections'!BC34,",",'1-Blade sections'!$A$27*1000)</f>
        <v>-18.7119765209052,-1.78071820957441,405</v>
      </c>
      <c r="O24" s="5" t="str">
        <f>CONCATENATE('1-Blade sections'!BE34,",",'1-Blade sections'!BF34,",",'1-Blade sections'!$A$28*1000)</f>
        <v>-18.7250995639417,-1.6369694503212,435.015</v>
      </c>
      <c r="P24" s="5" t="str">
        <f>CONCATENATE('1-Blade sections'!BH34,",",'1-Blade sections'!BI34,",",'1-Blade sections'!$A$29*1000)</f>
        <v>-18.7250995639417,-1.6369694503212,450</v>
      </c>
      <c r="Q24" s="5" t="str">
        <f>CONCATENATE('1-Blade sections'!BK34,",",'1-Blade sections'!BL34,",",'1-Blade sections'!$A$30*1000)</f>
        <v>0,0,0</v>
      </c>
      <c r="R24" s="5" t="str">
        <f>CONCATENATE('1-Blade sections'!BN34,",",'1-Blade sections'!BO34,",",'1-Blade sections'!$A$31*1000)</f>
        <v>0,0,0</v>
      </c>
      <c r="S24" s="5" t="str">
        <f>CONCATENATE('1-Blade sections'!BQ34,",",'1-Blade sections'!BR34,",",'1-Blade sections'!$A$32*1000)</f>
        <v>0,0,0</v>
      </c>
      <c r="T24" s="12" t="str">
        <f>CONCATENATE('1-Blade sections'!BT34,",",'1-Blade sections'!BU34,",",'1-Blade sections'!$A$33*1000)</f>
        <v>0,0,0</v>
      </c>
    </row>
    <row r="25" spans="1:20" x14ac:dyDescent="0.25">
      <c r="A25" s="5" t="str">
        <f>CONCATENATE('1-Blade sections'!O35,",",'1-Blade sections'!P35,",",'1-Blade sections'!$A$14*1000)</f>
        <v>2.43891109344239,-27.7076857778229,30</v>
      </c>
      <c r="B25" s="5" t="str">
        <f>CONCATENATE('1-Blade sections'!R35,",",'1-Blade sections'!S35,",",'1-Blade sections'!$A$15*1000)</f>
        <v>-32.4794626216764,-24.4236791635896,45</v>
      </c>
      <c r="C25" s="5" t="str">
        <f>CONCATENATE('1-Blade sections'!U35,",",'1-Blade sections'!V35,",",'1-Blade sections'!$A$16*1000)</f>
        <v>-34.7992939360271,-18.4503076910663,75.015</v>
      </c>
      <c r="D25" s="5" t="str">
        <f>CONCATENATE('1-Blade sections'!X35,",",'1-Blade sections'!Y35,",",'1-Blade sections'!$A$17*1000)</f>
        <v>-32.5148123098089,-13.2903557937181,104.985</v>
      </c>
      <c r="E25" s="12" t="str">
        <f>CONCATENATE('1-Blade sections'!AA35,",",'1-Blade sections'!AB35,",",'1-Blade sections'!$A$18*1000)</f>
        <v>-28.4511811523698,-9.27849629755622,135</v>
      </c>
      <c r="F25" s="11" t="str">
        <f>CONCATENATE('1-Blade sections'!AD35,",",'1-Blade sections'!AE35,",",'1-Blade sections'!$A$19*1000)</f>
        <v>-23.9196273304585,-6.24494331763764,165.015</v>
      </c>
      <c r="G25" s="5" t="str">
        <f>CONCATENATE('1-Blade sections'!AG35,",",'1-Blade sections'!AH35,",",'1-Blade sections'!$A$20*1000)</f>
        <v>-23.1431156082744,-5.5528289586794,194.985</v>
      </c>
      <c r="H25" s="4" t="str">
        <f>CONCATENATE('1-Blade sections'!AJ35,",",'1-Blade sections'!AK35,",",'1-Blade sections'!$A$21*1000)</f>
        <v>-21.3008695929437,-4.2803778493721,225</v>
      </c>
      <c r="I25" s="19" t="str">
        <f>CONCATENATE('1-Blade sections'!AM35,",",'1-Blade sections'!AN35,",",'1-Blade sections'!$A$22*1000)</f>
        <v>-19.7656161036347,-3.34032817534396,255.015</v>
      </c>
      <c r="J25" s="5" t="str">
        <f>CONCATENATE('1-Blade sections'!AP35,",",'1-Blade sections'!AQ35,",",'1-Blade sections'!$A$23*1000)</f>
        <v>-19.0420557380299,-2.86698391054432,284.985</v>
      </c>
      <c r="K25" s="29" t="str">
        <f>CONCATENATE('1-Blade sections'!AS35,",",'1-Blade sections'!AT35,",",'1-Blade sections'!$A$24*1000)</f>
        <v>-17.8307587046248,-2.41784159258056,315</v>
      </c>
      <c r="L25" s="5" t="str">
        <f>CONCATENATE('1-Blade sections'!AV35,",",'1-Blade sections'!AW35,",",'1-Blade sections'!$A$25*1000)</f>
        <v>-17.643033308781,-2.17322461284414,345.015</v>
      </c>
      <c r="M25" s="5" t="str">
        <f>CONCATENATE('1-Blade sections'!AY35,",",'1-Blade sections'!AZ35,",",'1-Blade sections'!$A$26*1000)</f>
        <v>-17.6644761672141,-1.99143448060765,374.985</v>
      </c>
      <c r="N25" s="5" t="str">
        <f>CONCATENATE('1-Blade sections'!BB35,",",'1-Blade sections'!BC35,",",'1-Blade sections'!$A$27*1000)</f>
        <v>-17.6644761672141,-1.99143448060765,405</v>
      </c>
      <c r="O25" s="5" t="str">
        <f>CONCATENATE('1-Blade sections'!BE35,",",'1-Blade sections'!BF35,",",'1-Blade sections'!$A$28*1000)</f>
        <v>-17.6792482665969,-1.85572365417364,435.015</v>
      </c>
      <c r="P25" s="5" t="str">
        <f>CONCATENATE('1-Blade sections'!BH35,",",'1-Blade sections'!BI35,",",'1-Blade sections'!$A$29*1000)</f>
        <v>-17.6792482665969,-1.85572365417364,450</v>
      </c>
      <c r="Q25" s="5" t="str">
        <f>CONCATENATE('1-Blade sections'!BK35,",",'1-Blade sections'!BL35,",",'1-Blade sections'!$A$30*1000)</f>
        <v>0,0,0</v>
      </c>
      <c r="R25" s="5" t="str">
        <f>CONCATENATE('1-Blade sections'!BN35,",",'1-Blade sections'!BO35,",",'1-Blade sections'!$A$31*1000)</f>
        <v>0,0,0</v>
      </c>
      <c r="S25" s="5" t="str">
        <f>CONCATENATE('1-Blade sections'!BQ35,",",'1-Blade sections'!BR35,",",'1-Blade sections'!$A$32*1000)</f>
        <v>0,0,0</v>
      </c>
      <c r="T25" s="12" t="str">
        <f>CONCATENATE('1-Blade sections'!BT35,",",'1-Blade sections'!BU35,",",'1-Blade sections'!$A$33*1000)</f>
        <v>0,0,0</v>
      </c>
    </row>
    <row r="26" spans="1:20" x14ac:dyDescent="0.25">
      <c r="A26" s="5" t="str">
        <f>CONCATENATE('1-Blade sections'!O36,",",'1-Blade sections'!P36,",",'1-Blade sections'!$A$14*1000)</f>
        <v>7.5558701210112,-26.8643448020767,30</v>
      </c>
      <c r="B26" s="5" t="str">
        <f>CONCATENATE('1-Blade sections'!R36,",",'1-Blade sections'!S36,",",'1-Blade sections'!$A$15*1000)</f>
        <v>-30.2172265293733,-23.5502343478256,45</v>
      </c>
      <c r="C26" s="5" t="str">
        <f>CONCATENATE('1-Blade sections'!U36,",",'1-Blade sections'!V36,",",'1-Blade sections'!$A$16*1000)</f>
        <v>-32.5011145058859,-17.9575588430392,75.015</v>
      </c>
      <c r="D26" s="4" t="str">
        <f>CONCATENATE('1-Blade sections'!X36,",",'1-Blade sections'!Y36,",",'1-Blade sections'!$A$17*1000)</f>
        <v>-30.4317824853933,-13.0566522755183,104.985</v>
      </c>
      <c r="E26" s="11" t="str">
        <f>CONCATENATE('1-Blade sections'!AA36,",",'1-Blade sections'!AB36,",",'1-Blade sections'!$A$18*1000)</f>
        <v>-26.666752771514,-9.20896375484104,135</v>
      </c>
      <c r="F26" s="11" t="str">
        <f>CONCATENATE('1-Blade sections'!AD36,",",'1-Blade sections'!AE36,",",'1-Blade sections'!$A$19*1000)</f>
        <v>-22.4447383780688,-6.27579986019867,165.015</v>
      </c>
      <c r="G26" s="5" t="str">
        <f>CONCATENATE('1-Blade sections'!AG36,",",'1-Blade sections'!AH36,",",'1-Blade sections'!$A$20*1000)</f>
        <v>-21.7240730177702,-5.61077931760254,194.985</v>
      </c>
      <c r="H26" s="4" t="str">
        <f>CONCATENATE('1-Blade sections'!AJ36,",",'1-Blade sections'!AK36,",",'1-Blade sections'!$A$21*1000)</f>
        <v>-20.0083044488296,-4.38139051203007,225</v>
      </c>
      <c r="I26" s="19" t="str">
        <f>CONCATENATE('1-Blade sections'!AM36,",",'1-Blade sections'!AN36,",",'1-Blade sections'!$A$22*1000)</f>
        <v>-18.5764928632145,-3.47031735295656,255.015</v>
      </c>
      <c r="J26" s="5" t="str">
        <f>CONCATENATE('1-Blade sections'!AP36,",",'1-Blade sections'!AQ36,",",'1-Blade sections'!$A$23*1000)</f>
        <v>-17.9021776275511,-3.0123692565575,284.985</v>
      </c>
      <c r="K26" s="29" t="str">
        <f>CONCATENATE('1-Blade sections'!AS36,",",'1-Blade sections'!AT36,",",'1-Blade sections'!$A$24*1000)</f>
        <v>-16.7677327876472,-2.56929396506093,315</v>
      </c>
      <c r="L26" s="5" t="str">
        <f>CONCATENATE('1-Blade sections'!AV36,",",'1-Blade sections'!AW36,",",'1-Blade sections'!$A$25*1000)</f>
        <v>-16.5947667755361,-2.33566456493304,345.015</v>
      </c>
      <c r="M26" s="5" t="str">
        <f>CONCATENATE('1-Blade sections'!AY36,",",'1-Blade sections'!AZ36,",",'1-Blade sections'!$A$26*1000)</f>
        <v>-16.6179378976859,-2.16466009409713,374.985</v>
      </c>
      <c r="N26" s="5" t="str">
        <f>CONCATENATE('1-Blade sections'!BB36,",",'1-Blade sections'!BC36,",",'1-Blade sections'!$A$27*1000)</f>
        <v>-16.6179378976859,-2.16466009409713,405</v>
      </c>
      <c r="O26" s="5" t="str">
        <f>CONCATENATE('1-Blade sections'!BE36,",",'1-Blade sections'!BF36,",",'1-Blade sections'!$A$28*1000)</f>
        <v>-16.6340711202942,-2.03698091775927,435.015</v>
      </c>
      <c r="P26" s="5" t="str">
        <f>CONCATENATE('1-Blade sections'!BH36,",",'1-Blade sections'!BI36,",",'1-Blade sections'!$A$29*1000)</f>
        <v>-16.6340711202942,-2.03698091775927,450</v>
      </c>
      <c r="Q26" s="5" t="str">
        <f>CONCATENATE('1-Blade sections'!BK36,",",'1-Blade sections'!BL36,",",'1-Blade sections'!$A$30*1000)</f>
        <v>0,0,0</v>
      </c>
      <c r="R26" s="5" t="str">
        <f>CONCATENATE('1-Blade sections'!BN36,",",'1-Blade sections'!BO36,",",'1-Blade sections'!$A$31*1000)</f>
        <v>0,0,0</v>
      </c>
      <c r="S26" s="5" t="str">
        <f>CONCATENATE('1-Blade sections'!BQ36,",",'1-Blade sections'!BR36,",",'1-Blade sections'!$A$32*1000)</f>
        <v>0,0,0</v>
      </c>
      <c r="T26" s="12" t="str">
        <f>CONCATENATE('1-Blade sections'!BT36,",",'1-Blade sections'!BU36,",",'1-Blade sections'!$A$33*1000)</f>
        <v>0,0,0</v>
      </c>
    </row>
    <row r="27" spans="1:20" x14ac:dyDescent="0.25">
      <c r="A27" s="5" t="str">
        <f>CONCATENATE('1-Blade sections'!O37,",",'1-Blade sections'!P37,",",'1-Blade sections'!$A$14*1000)</f>
        <v>12.4181306851771,-25.0600233541854,30</v>
      </c>
      <c r="B27" s="5" t="str">
        <f>CONCATENATE('1-Blade sections'!R37,",",'1-Blade sections'!S37,",",'1-Blade sections'!$A$15*1000)</f>
        <v>-25.7987033488995,-21.6336590933375,45</v>
      </c>
      <c r="C27" s="5" t="str">
        <f>CONCATENATE('1-Blade sections'!U37,",",'1-Blade sections'!V37,",",'1-Blade sections'!$A$16*1000)</f>
        <v>-27.9804222142988,-16.7935420560426,75.015</v>
      </c>
      <c r="D27" s="5" t="str">
        <f>CONCATENATE('1-Blade sections'!X37,",",'1-Blade sections'!Y37,",",'1-Blade sections'!$A$17*1000)</f>
        <v>-26.3170566667817,-12.4241268292698,104.985</v>
      </c>
      <c r="E27" s="12" t="str">
        <f>CONCATENATE('1-Blade sections'!AA37,",",'1-Blade sections'!AB37,",",'1-Blade sections'!$A$18*1000)</f>
        <v>-23.1312851471575,-8.92641739979096,135</v>
      </c>
      <c r="F27" s="11" t="str">
        <f>CONCATENATE('1-Blade sections'!AD37,",",'1-Blade sections'!AE37,",",'1-Blade sections'!$A$19*1000)</f>
        <v>-19.5154019771405,-6.21754704205941,165.015</v>
      </c>
      <c r="G27" s="5" t="str">
        <f>CONCATENATE('1-Blade sections'!AG37,",",'1-Blade sections'!AH37,",",'1-Blade sections'!$A$20*1000)</f>
        <v>-18.9033657076786,-5.61081700906246,194.985</v>
      </c>
      <c r="H27" s="4" t="str">
        <f>CONCATENATE('1-Blade sections'!AJ37,",",'1-Blade sections'!AK37,",",'1-Blade sections'!$A$21*1000)</f>
        <v>-17.4350960973076,-4.47712937708803,225</v>
      </c>
      <c r="I27" s="19" t="str">
        <f>CONCATENATE('1-Blade sections'!AM37,",",'1-Blade sections'!AN37,",",'1-Blade sections'!$A$22*1000)</f>
        <v>-16.2062118327146,-3.63193872245187,255.015</v>
      </c>
      <c r="J27" s="5" t="str">
        <f>CONCATENATE('1-Blade sections'!AP37,",",'1-Blade sections'!AQ37,",",'1-Blade sections'!$A$23*1000)</f>
        <v>-15.6283735711018,-3.20853300288923,284.985</v>
      </c>
      <c r="K27" s="29" t="str">
        <f>CONCATENATE('1-Blade sections'!AS37,",",'1-Blade sections'!AT37,",",'1-Blade sections'!$A$24*1000)</f>
        <v>-14.6459462022691,-2.78372346072236,315</v>
      </c>
      <c r="L27" s="5" t="str">
        <f>CONCATENATE('1-Blade sections'!AV37,",",'1-Blade sections'!AW37,",",'1-Blade sections'!$A$25*1000)</f>
        <v>-14.5013792389062,-2.57309402205138,345.015</v>
      </c>
      <c r="M27" s="5" t="str">
        <f>CONCATENATE('1-Blade sections'!AY37,",",'1-Blade sections'!AZ37,",",'1-Blade sections'!$A$26*1000)</f>
        <v>-14.5271062216759,-2.42363312014065,374.985</v>
      </c>
      <c r="N27" s="5" t="str">
        <f>CONCATENATE('1-Blade sections'!BB37,",",'1-Blade sections'!BC37,",",'1-Blade sections'!$A$27*1000)</f>
        <v>-14.5271062216759,-2.42363312014065,405</v>
      </c>
      <c r="O27" s="5" t="str">
        <f>CONCATENATE('1-Blade sections'!BE37,",",'1-Blade sections'!BF37,",",'1-Blade sections'!$A$28*1000)</f>
        <v>-14.5452898467871,-2.31200258430799,435.015</v>
      </c>
      <c r="P27" s="5" t="str">
        <f>CONCATENATE('1-Blade sections'!BH37,",",'1-Blade sections'!BI37,",",'1-Blade sections'!$A$29*1000)</f>
        <v>-14.5452898467871,-2.31200258430799,450</v>
      </c>
      <c r="Q27" s="5" t="str">
        <f>CONCATENATE('1-Blade sections'!BK37,",",'1-Blade sections'!BL37,",",'1-Blade sections'!$A$30*1000)</f>
        <v>0,0,0</v>
      </c>
      <c r="R27" s="5" t="str">
        <f>CONCATENATE('1-Blade sections'!BN37,",",'1-Blade sections'!BO37,",",'1-Blade sections'!$A$31*1000)</f>
        <v>0,0,0</v>
      </c>
      <c r="S27" s="5" t="str">
        <f>CONCATENATE('1-Blade sections'!BQ37,",",'1-Blade sections'!BR37,",",'1-Blade sections'!$A$32*1000)</f>
        <v>0,0,0</v>
      </c>
      <c r="T27" s="12" t="str">
        <f>CONCATENATE('1-Blade sections'!BT37,",",'1-Blade sections'!BU37,",",'1-Blade sections'!$A$33*1000)</f>
        <v>0,0,0</v>
      </c>
    </row>
    <row r="28" spans="1:20" x14ac:dyDescent="0.25">
      <c r="A28" s="5" t="str">
        <f>CONCATENATE('1-Blade sections'!O38,",",'1-Blade sections'!P38,",",'1-Blade sections'!$A$14*1000)</f>
        <v>16.8470978128172,-22.3607954777194,30</v>
      </c>
      <c r="B28" s="5" t="str">
        <f>CONCATENATE('1-Blade sections'!R38,",",'1-Blade sections'!S38,",",'1-Blade sections'!$A$15*1000)</f>
        <v>-21.4709936005393,-19.5716390191695,45</v>
      </c>
      <c r="C28" s="5" t="str">
        <f>CONCATENATE('1-Blade sections'!U38,",",'1-Blade sections'!V38,",",'1-Blade sections'!$A$16*1000)</f>
        <v>-23.5245869815933,-15.4765089053811,75.015</v>
      </c>
      <c r="D28" s="4" t="str">
        <f>CONCATENATE('1-Blade sections'!X38,",",'1-Blade sections'!Y38,",",'1-Blade sections'!$A$17*1000)</f>
        <v>-22.2463312740729,-11.6500713174368,104.985</v>
      </c>
      <c r="E28" s="11" t="str">
        <f>CONCATENATE('1-Blade sections'!AA38,",",'1-Blade sections'!AB38,",",'1-Blade sections'!$A$18*1000)</f>
        <v>-19.6244367833911,-8.52088709935255,135</v>
      </c>
      <c r="F28" s="11" t="str">
        <f>CONCATENATE('1-Blade sections'!AD38,",",'1-Blade sections'!AE38,",",'1-Blade sections'!$A$19*1000)</f>
        <v>-16.6035868652273,-6.056466306839,165.015</v>
      </c>
      <c r="G28" s="5" t="str">
        <f>CONCATENATE('1-Blade sections'!AG38,",",'1-Blade sections'!AH38,",",'1-Blade sections'!$A$20*1000)</f>
        <v>-16.0975537155155,-5.51154353504837,194.985</v>
      </c>
      <c r="H28" s="4" t="str">
        <f>CONCATENATE('1-Blade sections'!AJ38,",",'1-Blade sections'!AK38,",",'1-Blade sections'!$A$21*1000)</f>
        <v>-14.8721065486767,-4.48176556192487,225</v>
      </c>
      <c r="I28" s="19" t="str">
        <f>CONCATENATE('1-Blade sections'!AM38,",",'1-Blade sections'!AN38,",",'1-Blade sections'!$A$22*1000)</f>
        <v>-13.8427583310782,-3.70925410417871,255.015</v>
      </c>
      <c r="J28" s="5" t="str">
        <f>CONCATENATE('1-Blade sections'!AP38,",",'1-Blade sections'!AQ38,",",'1-Blade sections'!$A$23*1000)</f>
        <v>-13.3596713699454,-3.32360508148271,284.985</v>
      </c>
      <c r="K28" s="29" t="str">
        <f>CONCATENATE('1-Blade sections'!AS38,",",'1-Blade sections'!AT38,",",'1-Blade sections'!$A$24*1000)</f>
        <v>-12.5278155442428,-2.92231702841296,315</v>
      </c>
      <c r="L28" s="5" t="str">
        <f>CONCATENATE('1-Blade sections'!AV38,",",'1-Blade sections'!AW38,",",'1-Blade sections'!$A$25*1000)</f>
        <v>-12.4106878707277,-2.73556595311876,345.015</v>
      </c>
      <c r="M28" s="5" t="str">
        <f>CONCATENATE('1-Blade sections'!AY38,",",'1-Blade sections'!AZ38,",",'1-Blade sections'!$A$26*1000)</f>
        <v>-12.4381987139914,-2.60762483109663,374.985</v>
      </c>
      <c r="N28" s="5" t="str">
        <f>CONCATENATE('1-Blade sections'!BB38,",",'1-Blade sections'!BC38,",",'1-Blade sections'!$A$27*1000)</f>
        <v>-12.4381987139914,-2.60762483109663,405</v>
      </c>
      <c r="O28" s="5" t="str">
        <f>CONCATENATE('1-Blade sections'!BE38,",",'1-Blade sections'!BF38,",",'1-Blade sections'!$A$28*1000)</f>
        <v>-12.4578568753644,-2.5120303703231,435.015</v>
      </c>
      <c r="P28" s="5" t="str">
        <f>CONCATENATE('1-Blade sections'!BH38,",",'1-Blade sections'!BI38,",",'1-Blade sections'!$A$29*1000)</f>
        <v>-12.4578568753644,-2.5120303703231,450</v>
      </c>
      <c r="Q28" s="5" t="str">
        <f>CONCATENATE('1-Blade sections'!BK38,",",'1-Blade sections'!BL38,",",'1-Blade sections'!$A$30*1000)</f>
        <v>0,0,0</v>
      </c>
      <c r="R28" s="5" t="str">
        <f>CONCATENATE('1-Blade sections'!BN38,",",'1-Blade sections'!BO38,",",'1-Blade sections'!$A$31*1000)</f>
        <v>0,0,0</v>
      </c>
      <c r="S28" s="5" t="str">
        <f>CONCATENATE('1-Blade sections'!BQ38,",",'1-Blade sections'!BR38,",",'1-Blade sections'!$A$32*1000)</f>
        <v>0,0,0</v>
      </c>
      <c r="T28" s="12" t="str">
        <f>CONCATENATE('1-Blade sections'!BT38,",",'1-Blade sections'!BU38,",",'1-Blade sections'!$A$33*1000)</f>
        <v>0,0,0</v>
      </c>
    </row>
    <row r="29" spans="1:20" x14ac:dyDescent="0.25">
      <c r="A29" s="5" t="str">
        <f>CONCATENATE('1-Blade sections'!O39,",",'1-Blade sections'!P39,",",'1-Blade sections'!$A$14*1000)</f>
        <v>20.6793745195948,-18.8666139046352,30</v>
      </c>
      <c r="B29" s="5" t="str">
        <f>CONCATENATE('1-Blade sections'!R39,",",'1-Blade sections'!S39,",",'1-Blade sections'!$A$15*1000)</f>
        <v>-17.2441876656386,-17.3480135898014,45</v>
      </c>
      <c r="C29" s="5" t="str">
        <f>CONCATENATE('1-Blade sections'!U39,",",'1-Blade sections'!V39,",",'1-Blade sections'!$A$16*1000)</f>
        <v>-19.1408151476451,-13.9894575728698,75.015</v>
      </c>
      <c r="D29" s="5" t="str">
        <f>CONCATENATE('1-Blade sections'!X39,",",'1-Blade sections'!Y39,",",'1-Blade sections'!$A$17*1000)</f>
        <v>-18.224495243478,-10.7187601771764,104.985</v>
      </c>
      <c r="E29" s="12" t="str">
        <f>CONCATENATE('1-Blade sections'!AA39,",",'1-Blade sections'!AB39,",",'1-Blade sections'!$A$18*1000)</f>
        <v>-16.149387598058,-7.9787079707049,135</v>
      </c>
      <c r="F29" s="11" t="str">
        <f>CONCATENATE('1-Blade sections'!AD39,",",'1-Blade sections'!AE39,",",'1-Blade sections'!$A$19*1000)</f>
        <v>-13.7112398522199,-5.78113233041733,165.015</v>
      </c>
      <c r="G29" s="5" t="str">
        <f>CONCATENATE('1-Blade sections'!AG39,",",'1-Blade sections'!AH39,",",'1-Blade sections'!$A$20*1000)</f>
        <v>-13.3082920766064,-5.30192432161871,194.985</v>
      </c>
      <c r="H29" s="4" t="str">
        <f>CONCATENATE('1-Blade sections'!AJ39,",",'1-Blade sections'!AK39,",",'1-Blade sections'!$A$21*1000)</f>
        <v>-12.3204712254804,-4.385176546516,225</v>
      </c>
      <c r="I29" s="19" t="str">
        <f>CONCATENATE('1-Blade sections'!AM39,",",'1-Blade sections'!AN39,",",'1-Blade sections'!$A$22*1000)</f>
        <v>-11.4868909726234,-3.69289616616278,255.015</v>
      </c>
      <c r="J29" s="5" t="str">
        <f>CONCATENATE('1-Blade sections'!AP39,",",'1-Blade sections'!AQ39,",",'1-Blade sections'!$A$23*1000)</f>
        <v>-11.096637896892,-3.34857530703368,284.985</v>
      </c>
      <c r="K29" s="29" t="str">
        <f>CONCATENATE('1-Blade sections'!AS39,",",'1-Blade sections'!AT39,",",'1-Blade sections'!$A$24*1000)</f>
        <v>-10.4137470277186,-2.97664845391373,315</v>
      </c>
      <c r="L29" s="5" t="str">
        <f>CONCATENATE('1-Blade sections'!AV39,",",'1-Blade sections'!AW39,",",'1-Blade sections'!$A$25*1000)</f>
        <v>-10.3229922452729,-2.81475174412949,345.015</v>
      </c>
      <c r="M29" s="5" t="str">
        <f>CONCATENATE('1-Blade sections'!AY39,",",'1-Blade sections'!AZ39,",",'1-Blade sections'!$A$26*1000)</f>
        <v>-10.3514291711131,-2.70830396973315,374.985</v>
      </c>
      <c r="N29" s="5" t="str">
        <f>CONCATENATE('1-Blade sections'!BB39,",",'1-Blade sections'!BC39,",",'1-Blade sections'!$A$27*1000)</f>
        <v>-10.3514291711131,-2.70830396973315,405</v>
      </c>
      <c r="O29" s="5" t="str">
        <f>CONCATENATE('1-Blade sections'!BE39,",",'1-Blade sections'!BF39,",",'1-Blade sections'!$A$28*1000)</f>
        <v>-10.3719220173686,-2.62873162241197,435.015</v>
      </c>
      <c r="P29" s="5" t="str">
        <f>CONCATENATE('1-Blade sections'!BH39,",",'1-Blade sections'!BI39,",",'1-Blade sections'!$A$29*1000)</f>
        <v>-10.3719220173686,-2.62873162241197,450</v>
      </c>
      <c r="Q29" s="5" t="str">
        <f>CONCATENATE('1-Blade sections'!BK39,",",'1-Blade sections'!BL39,",",'1-Blade sections'!$A$30*1000)</f>
        <v>0,0,0</v>
      </c>
      <c r="R29" s="5" t="str">
        <f>CONCATENATE('1-Blade sections'!BN39,",",'1-Blade sections'!BO39,",",'1-Blade sections'!$A$31*1000)</f>
        <v>0,0,0</v>
      </c>
      <c r="S29" s="5" t="str">
        <f>CONCATENATE('1-Blade sections'!BQ39,",",'1-Blade sections'!BR39,",",'1-Blade sections'!$A$32*1000)</f>
        <v>0,0,0</v>
      </c>
      <c r="T29" s="12" t="str">
        <f>CONCATENATE('1-Blade sections'!BT39,",",'1-Blade sections'!BU39,",",'1-Blade sections'!$A$33*1000)</f>
        <v>0,0,0</v>
      </c>
    </row>
    <row r="30" spans="1:20" x14ac:dyDescent="0.25">
      <c r="A30" s="5" t="str">
        <f>CONCATENATE('1-Blade sections'!O40,",",'1-Blade sections'!P40,",",'1-Blade sections'!$A$14*1000)</f>
        <v>23.7742693194661,-14.7050815888302,30</v>
      </c>
      <c r="B30" s="5" t="str">
        <f>CONCATENATE('1-Blade sections'!R40,",",'1-Blade sections'!S40,",",'1-Blade sections'!$A$15*1000)</f>
        <v>-13.1132403535245,-14.9708630729932,45</v>
      </c>
      <c r="C30" s="5" t="str">
        <f>CONCATENATE('1-Blade sections'!U40,",",'1-Blade sections'!V40,",",'1-Blade sections'!$A$16*1000)</f>
        <v>-14.8255035425164,-12.340888967601,75.015</v>
      </c>
      <c r="D30" s="4" t="str">
        <f>CONCATENATE('1-Blade sections'!X40,",",'1-Blade sections'!Y40,",",'1-Blade sections'!$A$17*1000)</f>
        <v>-14.2491041068915,-9.63805618991007,104.985</v>
      </c>
      <c r="E30" s="11" t="str">
        <f>CONCATENATE('1-Blade sections'!AA40,",",'1-Blade sections'!AB40,",",'1-Blade sections'!$A$18*1000)</f>
        <v>-12.7045476322367,-7.30671245525846,135</v>
      </c>
      <c r="F30" s="11" t="str">
        <f>CONCATENATE('1-Blade sections'!AD40,",",'1-Blade sections'!AE40,",",'1-Blade sections'!$A$19*1000)</f>
        <v>-10.837387533173,-5.39725777485445,165.015</v>
      </c>
      <c r="G30" s="5" t="str">
        <f>CONCATENATE('1-Blade sections'!AG40,",",'1-Blade sections'!AH40,",",'1-Blade sections'!$A$20*1000)</f>
        <v>-10.5347532732885,-4.98747665574425,194.985</v>
      </c>
      <c r="H30" s="4" t="str">
        <f>CONCATENATE('1-Blade sections'!AJ40,",",'1-Blade sections'!AK40,",",'1-Blade sections'!$A$21*1000)</f>
        <v>-9.77962241644684,-4.19242359087372,225</v>
      </c>
      <c r="I30" s="19" t="str">
        <f>CONCATENATE('1-Blade sections'!AM40,",",'1-Blade sections'!AN40,",",'1-Blade sections'!$A$22*1000)</f>
        <v>-9.13823045019108,-3.58754857439124,255.015</v>
      </c>
      <c r="J30" s="5" t="str">
        <f>CONCATENATE('1-Blade sections'!AP40,",",'1-Blade sections'!AQ40,",",'1-Blade sections'!$A$23*1000)</f>
        <v>-8.83898971553662,-3.28794877219427,284.985</v>
      </c>
      <c r="K30" s="29" t="str">
        <f>CONCATENATE('1-Blade sections'!AS40,",",'1-Blade sections'!AT40,",",'1-Blade sections'!$A$24*1000)</f>
        <v>-8.30353754562122,-2.95093084433418,315</v>
      </c>
      <c r="L30" s="5" t="str">
        <f>CONCATENATE('1-Blade sections'!AV40,",",'1-Blade sections'!AW40,",",'1-Blade sections'!$A$25*1000)</f>
        <v>-8.23814257540567,-2.81481570208643,345.015</v>
      </c>
      <c r="M30" s="5" t="str">
        <f>CONCATENATE('1-Blade sections'!AY40,",",'1-Blade sections'!AZ40,",",'1-Blade sections'!$A$26*1000)</f>
        <v>-8.26669069480072,-2.72983616466616,374.985</v>
      </c>
      <c r="N30" s="5" t="str">
        <f>CONCATENATE('1-Blade sections'!BB40,",",'1-Blade sections'!BC40,",",'1-Blade sections'!$A$27*1000)</f>
        <v>-8.26669069480072,-2.72983616466616,405</v>
      </c>
      <c r="O30" s="5" t="str">
        <f>CONCATENATE('1-Blade sections'!BE40,",",'1-Blade sections'!BF40,",",'1-Blade sections'!$A$28*1000)</f>
        <v>-8.28741036712844,-2.66627266727092,435.015</v>
      </c>
      <c r="P30" s="5" t="str">
        <f>CONCATENATE('1-Blade sections'!BH40,",",'1-Blade sections'!BI40,",",'1-Blade sections'!$A$29*1000)</f>
        <v>-8.28741036712844,-2.66627266727092,450</v>
      </c>
      <c r="Q30" s="5" t="str">
        <f>CONCATENATE('1-Blade sections'!BK40,",",'1-Blade sections'!BL40,",",'1-Blade sections'!$A$30*1000)</f>
        <v>0,0,0</v>
      </c>
      <c r="R30" s="5" t="str">
        <f>CONCATENATE('1-Blade sections'!BN40,",",'1-Blade sections'!BO40,",",'1-Blade sections'!$A$31*1000)</f>
        <v>0,0,0</v>
      </c>
      <c r="S30" s="5" t="str">
        <f>CONCATENATE('1-Blade sections'!BQ40,",",'1-Blade sections'!BR40,",",'1-Blade sections'!$A$32*1000)</f>
        <v>0,0,0</v>
      </c>
      <c r="T30" s="12" t="str">
        <f>CONCATENATE('1-Blade sections'!BT40,",",'1-Blade sections'!BU40,",",'1-Blade sections'!$A$33*1000)</f>
        <v>0,0,0</v>
      </c>
    </row>
    <row r="31" spans="1:20" x14ac:dyDescent="0.25">
      <c r="A31" s="5" t="str">
        <f>CONCATENATE('1-Blade sections'!O41,",",'1-Blade sections'!P41,",",'1-Blade sections'!$A$14*1000)</f>
        <v>26.0184701325529,-10.0293290629564,30</v>
      </c>
      <c r="B31" s="5" t="str">
        <f>CONCATENATE('1-Blade sections'!R41,",",'1-Blade sections'!S41,",",'1-Blade sections'!$A$15*1000)</f>
        <v>-5.05315335621532,-9.89335132897694,45</v>
      </c>
      <c r="C31" s="5" t="str">
        <f>CONCATENATE('1-Blade sections'!U41,",",'1-Blade sections'!V41,",",'1-Blade sections'!$A$16*1000)</f>
        <v>-6.33900712977377,-8.70371539336376,75.015</v>
      </c>
      <c r="D31" s="5" t="str">
        <f>CONCATENATE('1-Blade sections'!X41,",",'1-Blade sections'!Y41,",",'1-Blade sections'!$A$17*1000)</f>
        <v>-6.39610055794656,-7.16213695852262,104.985</v>
      </c>
      <c r="E31" s="12" t="str">
        <f>CONCATENATE('1-Blade sections'!AA41,",",'1-Blade sections'!AB41,",",'1-Blade sections'!$A$18*1000)</f>
        <v>-5.87846605746082,-5.68942376794707,135</v>
      </c>
      <c r="F31" s="11" t="str">
        <f>CONCATENATE('1-Blade sections'!AD41,",",'1-Blade sections'!AE41,",",'1-Blade sections'!$A$19*1000)</f>
        <v>-5.12861909289065,-4.40100218132614,165.015</v>
      </c>
      <c r="G31" s="5" t="str">
        <f>CONCATENATE('1-Blade sections'!AG41,",",'1-Blade sections'!AH41,",",'1-Blade sections'!$A$20*1000)</f>
        <v>-5.02077637316054,-4.13788984516418,194.985</v>
      </c>
      <c r="H31" s="4" t="str">
        <f>CONCATENATE('1-Blade sections'!AJ41,",",'1-Blade sections'!AK41,",",'1-Blade sections'!$A$21*1000)</f>
        <v>-4.72063324924883,-3.60446727909777,225</v>
      </c>
      <c r="I31" s="19" t="str">
        <f>CONCATENATE('1-Blade sections'!AM41,",",'1-Blade sections'!AN41,",",'1-Blade sections'!$A$22*1000)</f>
        <v>-4.45608169168969,-3.18950675136266,255.015</v>
      </c>
      <c r="J31" s="5" t="str">
        <f>CONCATENATE('1-Blade sections'!AP41,",",'1-Blade sections'!AQ41,",",'1-Blade sections'!$A$23*1000)</f>
        <v>-4.33503080903203,-2.98649199643045,284.985</v>
      </c>
      <c r="K31" s="29" t="str">
        <f>CONCATENATE('1-Blade sections'!AS41,",",'1-Blade sections'!AT41,",",'1-Blade sections'!$A$24*1000)</f>
        <v>-4.09124286443057,-2.73097134079542,315</v>
      </c>
      <c r="L31" s="5" t="str">
        <f>CONCATENATE('1-Blade sections'!AV41,",",'1-Blade sections'!AW41,",",'1-Blade sections'!$A$25*1000)</f>
        <v>-4.07443472111879,-2.64837133788704,345.015</v>
      </c>
      <c r="M31" s="5" t="str">
        <f>CONCATENATE('1-Blade sections'!AY41,",",'1-Blade sections'!AZ41,",",'1-Blade sections'!$A$26*1000)</f>
        <v>-4.10148967178827,-2.60627540989324,374.985</v>
      </c>
      <c r="N31" s="5" t="str">
        <f>CONCATENATE('1-Blade sections'!BB41,",",'1-Blade sections'!BC41,",",'1-Blade sections'!$A$27*1000)</f>
        <v>-4.10148967178827,-2.60627540989324,405</v>
      </c>
      <c r="O31" s="5" t="str">
        <f>CONCATENATE('1-Blade sections'!BE41,",",'1-Blade sections'!BF41,",",'1-Blade sections'!$A$28*1000)</f>
        <v>-4.12138329350212,-2.57470168913635,435.015</v>
      </c>
      <c r="P31" s="5" t="str">
        <f>CONCATENATE('1-Blade sections'!BH41,",",'1-Blade sections'!BI41,",",'1-Blade sections'!$A$29*1000)</f>
        <v>-4.12138329350212,-2.57470168913635,450</v>
      </c>
      <c r="Q31" s="5" t="str">
        <f>CONCATENATE('1-Blade sections'!BK41,",",'1-Blade sections'!BL41,",",'1-Blade sections'!$A$30*1000)</f>
        <v>0,0,0</v>
      </c>
      <c r="R31" s="5" t="str">
        <f>CONCATENATE('1-Blade sections'!BN41,",",'1-Blade sections'!BO41,",",'1-Blade sections'!$A$31*1000)</f>
        <v>0,0,0</v>
      </c>
      <c r="S31" s="5" t="str">
        <f>CONCATENATE('1-Blade sections'!BQ41,",",'1-Blade sections'!BR41,",",'1-Blade sections'!$A$32*1000)</f>
        <v>0,0,0</v>
      </c>
      <c r="T31" s="12" t="str">
        <f>CONCATENATE('1-Blade sections'!BT41,",",'1-Blade sections'!BU41,",",'1-Blade sections'!$A$33*1000)</f>
        <v>0,0,0</v>
      </c>
    </row>
    <row r="32" spans="1:20" x14ac:dyDescent="0.25">
      <c r="A32" s="5" t="str">
        <f>CONCATENATE('1-Blade sections'!O42,",",'1-Blade sections'!P42,",",'1-Blade sections'!$A$14*1000)</f>
        <v>27.3293316723248,-5.01201115939023,30</v>
      </c>
      <c r="B32" s="5" t="str">
        <f>CONCATENATE('1-Blade sections'!R42,",",'1-Blade sections'!S42,",",'1-Blade sections'!$A$15*1000)</f>
        <v>2.81521639552077,-4.50878941008061,45</v>
      </c>
      <c r="C32" s="5" t="str">
        <f>CONCATENATE('1-Blade sections'!U42,",",'1-Blade sections'!V42,",",'1-Blade sections'!$A$16*1000)</f>
        <v>2.01056882532994,-4.74350727361173,75.015</v>
      </c>
      <c r="D32" s="4" t="str">
        <f>CONCATENATE('1-Blade sections'!X42,",",'1-Blade sections'!Y42,",",'1-Blade sections'!$A$17*1000)</f>
        <v>1.3640132029817,-4.3874320331232,104.985</v>
      </c>
      <c r="E32" s="11" t="str">
        <f>CONCATENATE('1-Blade sections'!AA42,",",'1-Blade sections'!AB42,",",'1-Blade sections'!$A$18*1000)</f>
        <v>0.887197078291602,-3.8125023070381,135</v>
      </c>
      <c r="F32" s="11" t="str">
        <f>CONCATENATE('1-Blade sections'!AD42,",",'1-Blade sections'!AE42,",",'1-Blade sections'!$A$19*1000)</f>
        <v>0.543159959470732,-3.18766542951542,165.015</v>
      </c>
      <c r="G32" s="5" t="str">
        <f>CONCATENATE('1-Blade sections'!AG42,",",'1-Blade sections'!AH42,",",'1-Blade sections'!$A$20*1000)</f>
        <v>0.4617548557849,-3.07864612969452,194.985</v>
      </c>
      <c r="H32" s="4" t="str">
        <f>CONCATENATE('1-Blade sections'!AJ42,",",'1-Blade sections'!AK42,",",'1-Blade sections'!$A$21*1000)</f>
        <v>0.316782889623563,-2.82418308685498,225</v>
      </c>
      <c r="I32" s="19" t="str">
        <f>CONCATENATE('1-Blade sections'!AM42,",",'1-Blade sections'!AN42,",",'1-Blade sections'!$A$22*1000)</f>
        <v>0.211653394766659,-2.61348562082284,255.015</v>
      </c>
      <c r="J32" s="5" t="str">
        <f>CONCATENATE('1-Blade sections'!AP42,",",'1-Blade sections'!AQ42,",",'1-Blade sections'!$A$23*1000)</f>
        <v>0.158157514076669,-2.51384169988587,284.985</v>
      </c>
      <c r="K32" s="29" t="str">
        <f>CONCATENATE('1-Blade sections'!AS42,",",'1-Blade sections'!AT42,",",'1-Blade sections'!$A$24*1000)</f>
        <v>0.113333747906241,-2.350913767096,315</v>
      </c>
      <c r="L32" s="5" t="str">
        <f>CONCATENATE('1-Blade sections'!AV42,",",'1-Blade sections'!AW42,",",'1-Blade sections'!$A$25*1000)</f>
        <v>0.0835812219929392,-2.32368330758005,345.015</v>
      </c>
      <c r="M32" s="5" t="str">
        <f>CONCATENATE('1-Blade sections'!AY42,",",'1-Blade sections'!AZ42,",",'1-Blade sections'!$A$26*1000)</f>
        <v>0.0596492180924369,-2.32442076771332,374.985</v>
      </c>
      <c r="N32" s="5" t="str">
        <f>CONCATENATE('1-Blade sections'!BB42,",",'1-Blade sections'!BC42,",",'1-Blade sections'!$A$27*1000)</f>
        <v>0.0596492180924369,-2.32442076771332,405</v>
      </c>
      <c r="O32" s="5" t="str">
        <f>CONCATENATE('1-Blade sections'!BE42,",",'1-Blade sections'!BF42,",",'1-Blade sections'!$A$28*1000)</f>
        <v>0.0417973646129213,-2.32481029654194,435.015</v>
      </c>
      <c r="P32" s="5" t="str">
        <f>CONCATENATE('1-Blade sections'!BH42,",",'1-Blade sections'!BI42,",",'1-Blade sections'!$A$29*1000)</f>
        <v>0.0417973646129213,-2.32481029654194,450</v>
      </c>
      <c r="Q32" s="5" t="str">
        <f>CONCATENATE('1-Blade sections'!BK42,",",'1-Blade sections'!BL42,",",'1-Blade sections'!$A$30*1000)</f>
        <v>0,0,0</v>
      </c>
      <c r="R32" s="5" t="str">
        <f>CONCATENATE('1-Blade sections'!BN42,",",'1-Blade sections'!BO42,",",'1-Blade sections'!$A$31*1000)</f>
        <v>0,0,0</v>
      </c>
      <c r="S32" s="5" t="str">
        <f>CONCATENATE('1-Blade sections'!BQ42,",",'1-Blade sections'!BR42,",",'1-Blade sections'!$A$32*1000)</f>
        <v>0,0,0</v>
      </c>
      <c r="T32" s="12" t="str">
        <f>CONCATENATE('1-Blade sections'!BT42,",",'1-Blade sections'!BU42,",",'1-Blade sections'!$A$33*1000)</f>
        <v>0,0,0</v>
      </c>
    </row>
    <row r="33" spans="1:20" x14ac:dyDescent="0.25">
      <c r="A33" s="5" t="str">
        <f>CONCATENATE('1-Blade sections'!O43,",",'1-Blade sections'!P43,",",'1-Blade sections'!$A$14*1000)</f>
        <v>27.6582771318469,0.163755057846826,30</v>
      </c>
      <c r="B33" s="5" t="str">
        <f>CONCATENATE('1-Blade sections'!R43,",",'1-Blade sections'!S43,",",'1-Blade sections'!$A$15*1000)</f>
        <v>10.5473659990865,1.09393973833575,45</v>
      </c>
      <c r="C33" s="5" t="str">
        <f>CONCATENATE('1-Blade sections'!U43,",",'1-Blade sections'!V43,",",'1-Blade sections'!$A$16*1000)</f>
        <v>10.2628591921112,-0.553774608362354,75.015</v>
      </c>
      <c r="D33" s="5" t="str">
        <f>CONCATENATE('1-Blade sections'!X43,",",'1-Blade sections'!Y43,",",'1-Blade sections'!$A$17*1000)</f>
        <v>9.05812632505601,-1.40043200934685,104.985</v>
      </c>
      <c r="E33" s="12" t="str">
        <f>CONCATENATE('1-Blade sections'!AA43,",",'1-Blade sections'!AB43,",",'1-Blade sections'!$A$18*1000)</f>
        <v>7.60993132315895,-1.75110492804665,135</v>
      </c>
      <c r="F33" s="11" t="str">
        <f>CONCATENATE('1-Blade sections'!AD43,",",'1-Blade sections'!AE43,",",'1-Blade sections'!$A$19*1000)</f>
        <v>6.18865707830934,-1.82008680208299,165.015</v>
      </c>
      <c r="G33" s="5" t="str">
        <f>CONCATENATE('1-Blade sections'!AG43,",",'1-Blade sections'!AH43,",",'1-Blade sections'!$A$20*1000)</f>
        <v>5.92194310783752,-1.87043566601384,194.985</v>
      </c>
      <c r="H33" s="4" t="str">
        <f>CONCATENATE('1-Blade sections'!AJ43,",",'1-Blade sections'!AK43,",",'1-Blade sections'!$A$21*1000)</f>
        <v>5.33887082415933,-1.90724487428051,225</v>
      </c>
      <c r="I33" s="19" t="str">
        <f>CONCATENATE('1-Blade sections'!AM43,",",'1-Blade sections'!AN43,",",'1-Blade sections'!$A$22*1000)</f>
        <v>4.86914718792784,-1.9110055086303,255.015</v>
      </c>
      <c r="J33" s="5" t="str">
        <f>CONCATENATE('1-Blade sections'!AP43,",",'1-Blade sections'!AQ43,",",'1-Blade sections'!$A$23*1000)</f>
        <v>4.64369305424617,-1.91955390173391,284.985</v>
      </c>
      <c r="K33" s="29" t="str">
        <f>CONCATENATE('1-Blade sections'!AS43,",",'1-Blade sections'!AT43,",",'1-Blade sections'!$A$24*1000)</f>
        <v>4.31242646921533,-1.85710230144033,315</v>
      </c>
      <c r="L33" s="5" t="str">
        <f>CONCATENATE('1-Blade sections'!AV43,",",'1-Blade sections'!AW43,",",'1-Blade sections'!$A$25*1000)</f>
        <v>4.23755291242759,-1.88655898819661,345.015</v>
      </c>
      <c r="M33" s="5" t="str">
        <f>CONCATENATE('1-Blade sections'!AY43,",",'1-Blade sections'!AZ43,",",'1-Blade sections'!$A$26*1000)</f>
        <v>4.2179018554848,-1.9300941529021,374.985</v>
      </c>
      <c r="N33" s="5" t="str">
        <f>CONCATENATE('1-Blade sections'!BB43,",",'1-Blade sections'!BC43,",",'1-Blade sections'!$A$27*1000)</f>
        <v>4.2179018554848,-1.9300941529021,405</v>
      </c>
      <c r="O33" s="5" t="str">
        <f>CONCATENATE('1-Blade sections'!BE43,",",'1-Blade sections'!BF43,",",'1-Blade sections'!$A$28*1000)</f>
        <v>4.20295556960153,-1.96242808314711,435.015</v>
      </c>
      <c r="P33" s="5" t="str">
        <f>CONCATENATE('1-Blade sections'!BH43,",",'1-Blade sections'!BI43,",",'1-Blade sections'!$A$29*1000)</f>
        <v>4.20295556960153,-1.96242808314711,450</v>
      </c>
      <c r="Q33" s="5" t="str">
        <f>CONCATENATE('1-Blade sections'!BK43,",",'1-Blade sections'!BL43,",",'1-Blade sections'!$A$30*1000)</f>
        <v>0,0,0</v>
      </c>
      <c r="R33" s="5" t="str">
        <f>CONCATENATE('1-Blade sections'!BN43,",",'1-Blade sections'!BO43,",",'1-Blade sections'!$A$31*1000)</f>
        <v>0,0,0</v>
      </c>
      <c r="S33" s="5" t="str">
        <f>CONCATENATE('1-Blade sections'!BQ43,",",'1-Blade sections'!BR43,",",'1-Blade sections'!$A$32*1000)</f>
        <v>0,0,0</v>
      </c>
      <c r="T33" s="12" t="str">
        <f>CONCATENATE('1-Blade sections'!BT43,",",'1-Blade sections'!BU43,",",'1-Blade sections'!$A$33*1000)</f>
        <v>0,0,0</v>
      </c>
    </row>
    <row r="34" spans="1:20" x14ac:dyDescent="0.25">
      <c r="A34" s="5" t="str">
        <f>CONCATENATE('1-Blade sections'!O44,",",'1-Blade sections'!P44,",",'1-Blade sections'!$A$14*1000)</f>
        <v>26.9939712718959,5.30733478306975,30</v>
      </c>
      <c r="B34" s="5" t="str">
        <f>CONCATENATE('1-Blade sections'!R44,",",'1-Blade sections'!S44,",",'1-Blade sections'!$A$15*1000)</f>
        <v>18.1735665985197,6.86635450971213,45</v>
      </c>
      <c r="C34" s="5" t="str">
        <f>CONCATENATE('1-Blade sections'!U44,",",'1-Blade sections'!V44,",",'1-Blade sections'!$A$16*1000)</f>
        <v>18.4394829901973,3.8144771478294,75.015</v>
      </c>
      <c r="D34" s="4" t="str">
        <f>CONCATENATE('1-Blade sections'!X44,",",'1-Blade sections'!Y44,",",'1-Blade sections'!$A$17*1000)</f>
        <v>16.7009056169106,1.75168642427822,104.985</v>
      </c>
      <c r="E34" s="11" t="str">
        <f>CONCATENATE('1-Blade sections'!AA44,",",'1-Blade sections'!AB44,",",'1-Blade sections'!$A$18*1000)</f>
        <v>14.2992764306712,0.453773720564519,135</v>
      </c>
      <c r="F34" s="11" t="str">
        <f>CONCATENATE('1-Blade sections'!AD44,",",'1-Blade sections'!AE44,",",'1-Blade sections'!$A$19*1000)</f>
        <v>11.8137126932969,-0.33254227138923,165.015</v>
      </c>
      <c r="G34" s="5" t="str">
        <f>CONCATENATE('1-Blade sections'!AG44,",",'1-Blade sections'!AH44,",",'1-Blade sections'!$A$20*1000)</f>
        <v>11.3647534889735,-0.546362175946802,194.985</v>
      </c>
      <c r="H34" s="4" t="str">
        <f>CONCATENATE('1-Blade sections'!AJ44,",",'1-Blade sections'!AK44,",",'1-Blade sections'!$A$21*1000)</f>
        <v>10.3490368219888,-0.884020201448051,225</v>
      </c>
      <c r="I34" s="19" t="str">
        <f>CONCATENATE('1-Blade sections'!AM44,",",'1-Blade sections'!AN44,",",'1-Blade sections'!$A$22*1000)</f>
        <v>9.51867553074835,-1.11016841070788,255.015</v>
      </c>
      <c r="J34" s="5" t="str">
        <f>CONCATENATE('1-Blade sections'!AP44,",",'1-Blade sections'!AQ44,",",'1-Blade sections'!$A$23*1000)</f>
        <v>9.12327642990741,-1.23065915788732,284.985</v>
      </c>
      <c r="K34" s="29" t="str">
        <f>CONCATENATE('1-Blade sections'!AS44,",",'1-Blade sections'!AT44,",",'1-Blade sections'!$A$24*1000)</f>
        <v>8.50725394194731,-1.27481558648535,315</v>
      </c>
      <c r="L34" s="5" t="str">
        <f>CONCATENATE('1-Blade sections'!AV44,",",'1-Blade sections'!AW44,",",'1-Blade sections'!$A$25*1000)</f>
        <v>8.3883790730023,-1.3619842217537,345.015</v>
      </c>
      <c r="M34" s="5" t="str">
        <f>CONCATENATE('1-Blade sections'!AY44,",",'1-Blade sections'!AZ44,",",'1-Blade sections'!$A$26*1000)</f>
        <v>8.37390962983067,-1.44828933715545,374.985</v>
      </c>
      <c r="N34" s="5" t="str">
        <f>CONCATENATE('1-Blade sections'!BB44,",",'1-Blade sections'!BC44,",",'1-Blade sections'!$A$27*1000)</f>
        <v>8.37390962983067,-1.44828933715545,405</v>
      </c>
      <c r="O34" s="5" t="str">
        <f>CONCATENATE('1-Blade sections'!BE44,",",'1-Blade sections'!BF44,",",'1-Blade sections'!$A$28*1000)</f>
        <v>8.36254075549181,-1.51255300912973,435.015</v>
      </c>
      <c r="P34" s="5" t="str">
        <f>CONCATENATE('1-Blade sections'!BH44,",",'1-Blade sections'!BI44,",",'1-Blade sections'!$A$29*1000)</f>
        <v>8.36254075549181,-1.51255300912973,450</v>
      </c>
      <c r="Q34" s="5" t="str">
        <f>CONCATENATE('1-Blade sections'!BK44,",",'1-Blade sections'!BL44,",",'1-Blade sections'!$A$30*1000)</f>
        <v>0,0,0</v>
      </c>
      <c r="R34" s="5" t="str">
        <f>CONCATENATE('1-Blade sections'!BN44,",",'1-Blade sections'!BO44,",",'1-Blade sections'!$A$31*1000)</f>
        <v>0,0,0</v>
      </c>
      <c r="S34" s="5" t="str">
        <f>CONCATENATE('1-Blade sections'!BQ44,",",'1-Blade sections'!BR44,",",'1-Blade sections'!$A$32*1000)</f>
        <v>0,0,0</v>
      </c>
      <c r="T34" s="12" t="str">
        <f>CONCATENATE('1-Blade sections'!BT44,",",'1-Blade sections'!BU44,",",'1-Blade sections'!$A$33*1000)</f>
        <v>0,0,0</v>
      </c>
    </row>
    <row r="35" spans="1:20" x14ac:dyDescent="0.25">
      <c r="A35" s="5" t="str">
        <f>CONCATENATE('1-Blade sections'!O45,",",'1-Blade sections'!P45,",",'1-Blade sections'!$A$14*1000)</f>
        <v>25.3603692263728,10.2298375603757,30</v>
      </c>
      <c r="B35" s="5" t="str">
        <f>CONCATENATE('1-Blade sections'!R45,",",'1-Blade sections'!S45,",",'1-Blade sections'!$A$15*1000)</f>
        <v>25.7089537658394,12.7842141007685,45</v>
      </c>
      <c r="C35" s="5" t="str">
        <f>CONCATENATE('1-Blade sections'!U45,",",'1-Blade sections'!V45,",",'1-Blade sections'!$A$16*1000)</f>
        <v>26.5512497294018,8.33574526768605,75.015</v>
      </c>
      <c r="D35" s="5" t="str">
        <f>CONCATENATE('1-Blade sections'!X45,",",'1-Blade sections'!Y45,",",'1-Blade sections'!$A$17*1000)</f>
        <v>24.2996844828625,5.04533492348791,104.985</v>
      </c>
      <c r="E35" s="12" t="str">
        <f>CONCATENATE('1-Blade sections'!AA45,",",'1-Blade sections'!AB45,",",'1-Blade sections'!$A$18*1000)</f>
        <v>20.9600022775935,2.78163631456401,135</v>
      </c>
      <c r="F35" s="11" t="str">
        <f>CONCATENATE('1-Blade sections'!AD45,",",'1-Blade sections'!AE45,",",'1-Blade sections'!$A$19*1000)</f>
        <v>17.4212470192693,1.25783017638568,165.015</v>
      </c>
      <c r="G35" s="5" t="str">
        <f>CONCATENATE('1-Blade sections'!AG45,",",'1-Blade sections'!AH45,",",'1-Blade sections'!$A$20*1000)</f>
        <v>16.792668552181,0.877022479594254,194.985</v>
      </c>
      <c r="H35" s="4" t="str">
        <f>CONCATENATE('1-Blade sections'!AJ45,",",'1-Blade sections'!AK45,",",'1-Blade sections'!$A$21*1000)</f>
        <v>15.3489840169273,0.230307151605536,225</v>
      </c>
      <c r="I35" s="19" t="str">
        <f>CONCATENATE('1-Blade sections'!AM45,",",'1-Blade sections'!AN45,",",'1-Blade sections'!$A$22*1000)</f>
        <v>14.1613763447054,-0.225025325016969,255.015</v>
      </c>
      <c r="J35" s="5" t="str">
        <f>CONCATENATE('1-Blade sections'!AP45,",",'1-Blade sections'!AQ45,",",'1-Blade sections'!$A$23*1000)</f>
        <v>13.5977579502759,-0.460672746302476,284.985</v>
      </c>
      <c r="K35" s="29" t="str">
        <f>CONCATENATE('1-Blade sections'!AS45,",",'1-Blade sections'!AT45,",",'1-Blade sections'!$A$24*1000)</f>
        <v>12.6984254873275,-0.616692943559521,315</v>
      </c>
      <c r="L35" s="5" t="str">
        <f>CONCATENATE('1-Blade sections'!AV45,",",'1-Blade sections'!AW45,",",'1-Blade sections'!$A$25*1000)</f>
        <v>12.5365090651256,-0.762451929259816,345.015</v>
      </c>
      <c r="M35" s="5" t="str">
        <f>CONCATENATE('1-Blade sections'!AY45,",",'1-Blade sections'!AZ45,",",'1-Blade sections'!$A$26*1000)</f>
        <v>12.527993235851,-0.891503206321262,374.985</v>
      </c>
      <c r="N35" s="5" t="str">
        <f>CONCATENATE('1-Blade sections'!BB45,",",'1-Blade sections'!BC45,",",'1-Blade sections'!$A$27*1000)</f>
        <v>12.527993235851,-0.891503206321262,405</v>
      </c>
      <c r="O35" s="5" t="str">
        <f>CONCATENATE('1-Blade sections'!BE45,",",'1-Blade sections'!BF45,",",'1-Blade sections'!$A$28*1000)</f>
        <v>12.5207776392978,-0.987684054578746,435.015</v>
      </c>
      <c r="P35" s="5" t="str">
        <f>CONCATENATE('1-Blade sections'!BH45,",",'1-Blade sections'!BI45,",",'1-Blade sections'!$A$29*1000)</f>
        <v>12.5207776392978,-0.987684054578746,450</v>
      </c>
      <c r="Q35" s="5" t="str">
        <f>CONCATENATE('1-Blade sections'!BK45,",",'1-Blade sections'!BL45,",",'1-Blade sections'!$A$30*1000)</f>
        <v>0,0,0</v>
      </c>
      <c r="R35" s="5" t="str">
        <f>CONCATENATE('1-Blade sections'!BN45,",",'1-Blade sections'!BO45,",",'1-Blade sections'!$A$31*1000)</f>
        <v>0,0,0</v>
      </c>
      <c r="S35" s="5" t="str">
        <f>CONCATENATE('1-Blade sections'!BQ45,",",'1-Blade sections'!BR45,",",'1-Blade sections'!$A$32*1000)</f>
        <v>0,0,0</v>
      </c>
      <c r="T35" s="12" t="str">
        <f>CONCATENATE('1-Blade sections'!BT45,",",'1-Blade sections'!BU45,",",'1-Blade sections'!$A$33*1000)</f>
        <v>0,0,0</v>
      </c>
    </row>
    <row r="36" spans="1:20" x14ac:dyDescent="0.25">
      <c r="A36" s="5" t="str">
        <f>CONCATENATE('1-Blade sections'!O46,",",'1-Blade sections'!P46,",",'1-Blade sections'!$A$14*1000)</f>
        <v>22.8176812229322,14.7494415897122,30</v>
      </c>
      <c r="B36" s="5" t="str">
        <f>CONCATENATE('1-Blade sections'!R46,",",'1-Blade sections'!S46,",",'1-Blade sections'!$A$15*1000)</f>
        <v>33.1636178823914,18.831357975985,45</v>
      </c>
      <c r="C36" s="5" t="str">
        <f>CONCATENATE('1-Blade sections'!U46,",",'1-Blade sections'!V46,",",'1-Blade sections'!$A$16*1000)</f>
        <v>34.6053657496004,12.9930279330226,75.015</v>
      </c>
      <c r="D36" s="4" t="str">
        <f>CONCATENATE('1-Blade sections'!X46,",",'1-Blade sections'!Y46,",",'1-Blade sections'!$A$17*1000)</f>
        <v>31.8593518591232,8.46478792543949,104.985</v>
      </c>
      <c r="E36" s="11" t="str">
        <f>CONCATENATE('1-Blade sections'!AA46,",",'1-Blade sections'!AB46,",",'1-Blade sections'!$A$18*1000)</f>
        <v>27.595288781769,5.21881797113091,135</v>
      </c>
      <c r="F36" s="11" t="str">
        <f>CONCATENATE('1-Blade sections'!AD46,",",'1-Blade sections'!AE46,",",'1-Blade sections'!$A$19*1000)</f>
        <v>23.013206866117,2.9396052171216,165.015</v>
      </c>
      <c r="G36" s="5" t="str">
        <f>CONCATENATE('1-Blade sections'!AG46,",",'1-Blade sections'!AH46,",",'1-Blade sections'!$A$20*1000)</f>
        <v>22.2073433327853,2.38868372666777,194.985</v>
      </c>
      <c r="H36" s="4" t="str">
        <f>CONCATENATE('1-Blade sections'!AJ46,",",'1-Blade sections'!AK46,",",'1-Blade sections'!$A$21*1000)</f>
        <v>20.339847831518,1.42561466485568,225</v>
      </c>
      <c r="I36" s="19" t="str">
        <f>CONCATENATE('1-Blade sections'!AM46,",",'1-Blade sections'!AN46,",",'1-Blade sections'!$A$22*1000)</f>
        <v>18.7980082441172,0.735056416468141,255.015</v>
      </c>
      <c r="J36" s="5" t="str">
        <f>CONCATENATE('1-Blade sections'!AP46,",",'1-Blade sections'!AQ46,",",'1-Blade sections'!$A$23*1000)</f>
        <v>18.0677044881618,0.381395147716371,284.985</v>
      </c>
      <c r="K36" s="29" t="str">
        <f>CONCATENATE('1-Blade sections'!AS46,",",'1-Blade sections'!AT46,",",'1-Blade sections'!$A$24*1000)</f>
        <v>16.886347319506,0.10883941311816,315</v>
      </c>
      <c r="L36" s="5" t="str">
        <f>CONCATENATE('1-Blade sections'!AV46,",",'1-Blade sections'!AW46,",",'1-Blade sections'!$A$25*1000)</f>
        <v>16.6822424630699,-0.0962907247206306,345.015</v>
      </c>
      <c r="M36" s="5" t="str">
        <f>CONCATENATE('1-Blade sections'!AY46,",",'1-Blade sections'!AZ46,",",'1-Blade sections'!$A$26*1000)</f>
        <v>16.6803664700263,-0.268067017631498,374.985</v>
      </c>
      <c r="N36" s="5" t="str">
        <f>CONCATENATE('1-Blade sections'!BB46,",",'1-Blade sections'!BC46,",",'1-Blade sections'!$A$27*1000)</f>
        <v>16.6803664700263,-0.268067017631498,405</v>
      </c>
      <c r="O36" s="5" t="str">
        <f>CONCATENATE('1-Blade sections'!BE46,",",'1-Blade sections'!BF46,",",'1-Blade sections'!$A$28*1000)</f>
        <v>16.6778160323622,-0.396153872886771,435.015</v>
      </c>
      <c r="P36" s="5" t="str">
        <f>CONCATENATE('1-Blade sections'!BH46,",",'1-Blade sections'!BI46,",",'1-Blade sections'!$A$29*1000)</f>
        <v>16.6778160323622,-0.396153872886771,450</v>
      </c>
      <c r="Q36" s="5" t="str">
        <f>CONCATENATE('1-Blade sections'!BK46,",",'1-Blade sections'!BL46,",",'1-Blade sections'!$A$30*1000)</f>
        <v>0,0,0</v>
      </c>
      <c r="R36" s="5" t="str">
        <f>CONCATENATE('1-Blade sections'!BN46,",",'1-Blade sections'!BO46,",",'1-Blade sections'!$A$31*1000)</f>
        <v>0,0,0</v>
      </c>
      <c r="S36" s="5" t="str">
        <f>CONCATENATE('1-Blade sections'!BQ46,",",'1-Blade sections'!BR46,",",'1-Blade sections'!$A$32*1000)</f>
        <v>0,0,0</v>
      </c>
      <c r="T36" s="12" t="str">
        <f>CONCATENATE('1-Blade sections'!BT46,",",'1-Blade sections'!BU46,",",'1-Blade sections'!$A$33*1000)</f>
        <v>0,0,0</v>
      </c>
    </row>
    <row r="37" spans="1:20" x14ac:dyDescent="0.25">
      <c r="A37" s="5"/>
      <c r="B37" s="5" t="str">
        <f>CONCATENATE('1-Blade sections'!R47,",",'1-Blade sections'!S47,",",'1-Blade sections'!$A$15*1000)</f>
        <v>36.8556336059566,21.9114917879132,45</v>
      </c>
      <c r="C37" s="5" t="str">
        <f>CONCATENATE('1-Blade sections'!U47,",",'1-Blade sections'!V47,",",'1-Blade sections'!$A$16*1000)</f>
        <v>38.6072015701346,15.3811756293383,75.015</v>
      </c>
      <c r="D37" s="5" t="str">
        <f>CONCATENATE('1-Blade sections'!X47,",",'1-Blade sections'!Y47,",",'1-Blade sections'!$A$17*1000)</f>
        <v>35.6220742705136,10.2295538963649,104.985</v>
      </c>
      <c r="E37" s="12" t="str">
        <f>CONCATENATE('1-Blade sections'!AA47,",",'1-Blade sections'!AB47,",",'1-Blade sections'!$A$18*1000)</f>
        <v>30.9018023214051,6.48523588928759,135</v>
      </c>
      <c r="F37" s="11" t="str">
        <f>CONCATENATE('1-Blade sections'!AD47,",",'1-Blade sections'!AE47,",",'1-Blade sections'!$A$19*1000)</f>
        <v>25.8023729549239,3.82048137191,165.015</v>
      </c>
      <c r="G37" s="5" t="str">
        <f>CONCATENATE('1-Blade sections'!AG47,",",'1-Blade sections'!AH47,",",'1-Blade sections'!$A$20*1000)</f>
        <v>24.9088880994485,3.18313535899997,194.985</v>
      </c>
      <c r="H37" s="4" t="str">
        <f>CONCATENATE('1-Blade sections'!AJ47,",",'1-Blade sections'!AK47,",",'1-Blade sections'!$A$21*1000)</f>
        <v>22.8313057599114,2.05869724156675,225</v>
      </c>
      <c r="I37" s="19" t="str">
        <f>CONCATENATE('1-Blade sections'!AM47,",",'1-Blade sections'!AN47,",",'1-Blade sections'!$A$22*1000)</f>
        <v>21.1136690437095,1.24788294912066,255.015</v>
      </c>
      <c r="J37" s="5" t="str">
        <f>CONCATENATE('1-Blade sections'!AP47,",",'1-Blade sections'!AQ47,",",'1-Blade sections'!$A$23*1000)</f>
        <v>20.3006937022687,0.833964743290671,284.985</v>
      </c>
      <c r="K37" s="29" t="str">
        <f>CONCATENATE('1-Blade sections'!AS47,",",'1-Blade sections'!AT47,",",'1-Blade sections'!$A$24*1000)</f>
        <v>18.9788864860696,0.501097341223438,315</v>
      </c>
      <c r="L37" s="5" t="str">
        <f>CONCATENATE('1-Blade sections'!AV47,",",'1-Blade sections'!AW47,",",'1-Blade sections'!$A$25*1000)</f>
        <v>18.7540606520888,0.265940026568783,345.015</v>
      </c>
      <c r="M37" s="5" t="str">
        <f>CONCATENATE('1-Blade sections'!AY47,",",'1-Blade sections'!AZ47,",",'1-Blade sections'!$A$26*1000)</f>
        <v>18.7558047994319,0.0728104770251995,374.985</v>
      </c>
      <c r="N37" s="5" t="str">
        <f>CONCATENATE('1-Blade sections'!BB47,",",'1-Blade sections'!BC47,",",'1-Blade sections'!$A$27*1000)</f>
        <v>18.7558047994319,0.0728104770251995,405</v>
      </c>
      <c r="O37" s="5" t="str">
        <f>CONCATENATE('1-Blade sections'!BE47,",",'1-Blade sections'!BF47,",",'1-Blade sections'!$A$28*1000)</f>
        <v>18.755810889195,-0.0712244951666022,435.015</v>
      </c>
      <c r="P37" s="5" t="str">
        <f>CONCATENATE('1-Blade sections'!BH47,",",'1-Blade sections'!BI47,",",'1-Blade sections'!$A$29*1000)</f>
        <v>18.755810889195,-0.0712244951666022,450</v>
      </c>
      <c r="Q37" s="5" t="str">
        <f>CONCATENATE('1-Blade sections'!BK47,",",'1-Blade sections'!BL47,",",'1-Blade sections'!$A$30*1000)</f>
        <v>0,0,0</v>
      </c>
      <c r="R37" s="5" t="str">
        <f>CONCATENATE('1-Blade sections'!BN47,",",'1-Blade sections'!BO47,",",'1-Blade sections'!$A$31*1000)</f>
        <v>0,0,0</v>
      </c>
      <c r="S37" s="5" t="str">
        <f>CONCATENATE('1-Blade sections'!BQ47,",",'1-Blade sections'!BR47,",",'1-Blade sections'!$A$32*1000)</f>
        <v>0,0,0</v>
      </c>
      <c r="T37" s="12" t="str">
        <f>CONCATENATE('1-Blade sections'!BT47,",",'1-Blade sections'!BU47,",",'1-Blade sections'!$A$33*1000)</f>
        <v>0,0,0</v>
      </c>
    </row>
    <row r="38" spans="1:20" ht="16.5" thickBot="1" x14ac:dyDescent="0.3">
      <c r="A38" s="6"/>
      <c r="B38" s="6" t="str">
        <f>CONCATENATE('1-Blade sections'!R48,",",'1-Blade sections'!S48,",",'1-Blade sections'!$A$15*1000)</f>
        <v>40.5224233761569,25.0320269386414,45</v>
      </c>
      <c r="C38" s="6" t="str">
        <f>CONCATENATE('1-Blade sections'!U48,",",'1-Blade sections'!V48,",",'1-Blade sections'!$A$16*1000)</f>
        <v>42.5910215409795,17.8118278711165,75.015</v>
      </c>
      <c r="D38" s="4" t="str">
        <f>CONCATENATE('1-Blade sections'!X48,",",'1-Blade sections'!Y48,",",'1-Blade sections'!$A$17*1000)</f>
        <v>39.3725743413756,12.0336337743971,104.985</v>
      </c>
      <c r="E38" s="11" t="str">
        <f>CONCATENATE('1-Blade sections'!AA48,",",'1-Blade sections'!AB48,",",'1-Blade sections'!$A$18*1000)</f>
        <v>34.2003660664328,7.78581601449659,135</v>
      </c>
      <c r="F38" s="21" t="str">
        <f>CONCATENATE('1-Blade sections'!AD48,",",'1-Blade sections'!AE48,",",'1-Blade sections'!$A$19*1000)</f>
        <v>28.5866720190043,4.72992083699873,165.015</v>
      </c>
      <c r="G38" s="6" t="str">
        <f>CONCATENATE('1-Blade sections'!AG48,",",'1-Blade sections'!AH48,",",'1-Blade sections'!$A$20*1000)</f>
        <v>27.6062952777983,4.00517342618608,194.985</v>
      </c>
      <c r="H38" s="16" t="str">
        <f>CONCATENATE('1-Blade sections'!AJ48,",",'1-Blade sections'!AK48,",",'1-Blade sections'!$A$21*1000)</f>
        <v>25.319925131946,2.71708611833924,225</v>
      </c>
      <c r="I38" s="20" t="str">
        <f>CONCATENATE('1-Blade sections'!AM48,",",'1-Blade sections'!AN48,",",'1-Blade sections'!$A$22*1000)</f>
        <v>23.4274333075065,1.78412781170887,255.015</v>
      </c>
      <c r="J38" s="6" t="str">
        <f>CONCATENATE('1-Blade sections'!AP48,",",'1-Blade sections'!AQ48,",",'1-Blade sections'!$A$23*1000)</f>
        <v>22.5322657343498,1.3090598021256,284.985</v>
      </c>
      <c r="K38" s="30" t="str">
        <f>CONCATENATE('1-Blade sections'!AS48,",",'1-Blade sections'!AT48,",",'1-Blade sections'!$A$24*1000)</f>
        <v>21.0704101172577,0.914420804876171,315</v>
      </c>
      <c r="L38" s="6" t="str">
        <f>CONCATENATE('1-Blade sections'!AV48,",",'1-Blade sections'!AW48,",",'1-Blade sections'!$A$25*1000)</f>
        <v>20.8251299054267,0.648992312872356,345.015</v>
      </c>
      <c r="M38" s="6" t="str">
        <f>CONCATENATE('1-Blade sections'!AY48,",",'1-Blade sections'!AZ48,",",'1-Blade sections'!$A$26*1000)</f>
        <v>20.8307086376358,0.434516114761765,374.985</v>
      </c>
      <c r="N38" s="6" t="str">
        <f>CONCATENATE('1-Blade sections'!BB48,",",'1-Blade sections'!BC48,",",'1-Blade sections'!$A$27*1000)</f>
        <v>20.8307086376358,0.434516114761765,405</v>
      </c>
      <c r="O38" s="6" t="str">
        <f>CONCATENATE('1-Blade sections'!BE48,",",'1-Blade sections'!BF48,",",'1-Blade sections'!$A$28*1000)</f>
        <v>20.833431217671,0.274536516035126,435.015</v>
      </c>
      <c r="P38" s="6" t="str">
        <f>CONCATENATE('1-Blade sections'!BH48,",",'1-Blade sections'!BI48,",",'1-Blade sections'!$A$29*1000)</f>
        <v>20.833431217671,0.274536516035126,450</v>
      </c>
      <c r="Q38" s="6" t="str">
        <f>CONCATENATE('1-Blade sections'!BK48,",",'1-Blade sections'!BL48,",",'1-Blade sections'!$A$30*1000)</f>
        <v>0,0,0</v>
      </c>
      <c r="R38" s="6" t="str">
        <f>CONCATENATE('1-Blade sections'!BN48,",",'1-Blade sections'!BO48,",",'1-Blade sections'!$A$31*1000)</f>
        <v>0,0,0</v>
      </c>
      <c r="S38" s="6" t="str">
        <f>CONCATENATE('1-Blade sections'!BQ48,",",'1-Blade sections'!BR48,",",'1-Blade sections'!$A$32*1000)</f>
        <v>0,0,0</v>
      </c>
      <c r="T38" s="13" t="str">
        <f>CONCATENATE('1-Blade sections'!BT48,",",'1-Blade sections'!BU48,",",'1-Blade sections'!$A$33*1000)</f>
        <v>0,0,0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9606BD4CBE94ABE0E8F8E1B1E2696" ma:contentTypeVersion="10" ma:contentTypeDescription="Create a new document." ma:contentTypeScope="" ma:versionID="792cc64fc3ebb32460c138ed5509b1a5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daee7148664ad7ef77400b2c1c5be18b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7af1af-2294-40b3-8abb-87d668b54eeb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AD5A7-2A41-40C2-84DE-655C9210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741a5-fdb6-458f-98c1-97c2a9b7c0c4"/>
    <ds:schemaRef ds:uri="849ea56d-8af4-46e6-a2b1-2fcbbed7d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DB769-2E7A-4910-BE9A-1B8696714E24}">
  <ds:schemaRefs>
    <ds:schemaRef ds:uri="http://purl.org/dc/terms/"/>
    <ds:schemaRef ds:uri="http://www.w3.org/XML/1998/namespace"/>
    <ds:schemaRef ds:uri="http://purl.org/dc/elements/1.1/"/>
    <ds:schemaRef ds:uri="849ea56d-8af4-46e6-a2b1-2fcbbed7d94d"/>
    <ds:schemaRef ds:uri="379741a5-fdb6-458f-98c1-97c2a9b7c0c4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4E9075D-B18E-410E-AC14-1EB65EA3CCD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1-Blade sections</vt:lpstr>
      <vt:lpstr>2-Data to be Imported in Fusion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Markus Granrud Arntzen</cp:lastModifiedBy>
  <cp:revision/>
  <dcterms:created xsi:type="dcterms:W3CDTF">2023-09-01T12:40:28Z</dcterms:created>
  <dcterms:modified xsi:type="dcterms:W3CDTF">2026-10-06T23:07:04Z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  <property fmtid="{D5CDD505-2E9C-101B-9397-08002B2CF9AE}" pid="3" name="MediaServiceImageTags">
    <vt:lpwstr/>
  </property>
</Properties>
</file>