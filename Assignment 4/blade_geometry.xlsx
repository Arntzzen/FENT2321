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ku\Downloads\"/>
    </mc:Choice>
  </mc:AlternateContent>
  <xr:revisionPtr revIDLastSave="0" documentId="13_ncr:1_{30A8C183-D0BC-4E75-9F54-D7A1AD74BD25}" xr6:coauthVersionLast="47" xr6:coauthVersionMax="47" xr10:uidLastSave="{00000000-0000-0000-0000-000000000000}"/>
  <bookViews>
    <workbookView xWindow="-120" yWindow="-120" windowWidth="29040" windowHeight="15840" xr2:uid="{D2C3CB3A-60E9-1744-A5C0-D1EB133E2127}"/>
  </bookViews>
  <sheets>
    <sheet name="Insert and Adjust Data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7" i="5" l="1"/>
  <c r="E67" i="5" s="1"/>
  <c r="F67" i="5" s="1"/>
  <c r="B65" i="5"/>
  <c r="D65" i="5" s="1"/>
  <c r="B64" i="5"/>
  <c r="B58" i="5"/>
  <c r="B56" i="5"/>
  <c r="D56" i="5" s="1"/>
  <c r="B55" i="5"/>
  <c r="D55" i="5" s="1"/>
  <c r="D67" i="5"/>
  <c r="C69" i="5"/>
  <c r="A65" i="5"/>
  <c r="D44" i="5"/>
  <c r="C65" i="5" s="1"/>
  <c r="D45" i="5"/>
  <c r="C66" i="5" s="1"/>
  <c r="D46" i="5"/>
  <c r="C67" i="5" s="1"/>
  <c r="D47" i="5"/>
  <c r="C68" i="5" s="1"/>
  <c r="D48" i="5"/>
  <c r="D49" i="5" s="1"/>
  <c r="C44" i="5"/>
  <c r="C45" i="5"/>
  <c r="B66" i="5" s="1"/>
  <c r="E66" i="5" s="1"/>
  <c r="F66" i="5" s="1"/>
  <c r="C46" i="5"/>
  <c r="C47" i="5"/>
  <c r="B68" i="5" s="1"/>
  <c r="C48" i="5"/>
  <c r="B69" i="5" s="1"/>
  <c r="C35" i="5"/>
  <c r="D16" i="5"/>
  <c r="A35" i="5" s="1"/>
  <c r="D29" i="5"/>
  <c r="A48" i="5" s="1"/>
  <c r="B48" i="5" s="1"/>
  <c r="D28" i="5"/>
  <c r="A47" i="5" s="1"/>
  <c r="B47" i="5" s="1"/>
  <c r="D27" i="5"/>
  <c r="A46" i="5" s="1"/>
  <c r="B46" i="5" s="1"/>
  <c r="D26" i="5"/>
  <c r="A45" i="5" s="1"/>
  <c r="B45" i="5" s="1"/>
  <c r="D25" i="5"/>
  <c r="A44" i="5" s="1"/>
  <c r="B44" i="5" s="1"/>
  <c r="D33" i="5"/>
  <c r="C33" i="5"/>
  <c r="A49" i="5"/>
  <c r="A70" i="5" s="1"/>
  <c r="C55" i="5"/>
  <c r="D17" i="5"/>
  <c r="A36" i="5" s="1"/>
  <c r="B36" i="5" s="1"/>
  <c r="D18" i="5"/>
  <c r="A37" i="5" s="1"/>
  <c r="B37" i="5" s="1"/>
  <c r="D19" i="5"/>
  <c r="A38" i="5" s="1"/>
  <c r="B38" i="5" s="1"/>
  <c r="D20" i="5"/>
  <c r="A39" i="5" s="1"/>
  <c r="A60" i="5" s="1"/>
  <c r="D21" i="5"/>
  <c r="A40" i="5" s="1"/>
  <c r="B40" i="5" s="1"/>
  <c r="D22" i="5"/>
  <c r="A41" i="5" s="1"/>
  <c r="B41" i="5" s="1"/>
  <c r="D23" i="5"/>
  <c r="A42" i="5" s="1"/>
  <c r="B42" i="5" s="1"/>
  <c r="D24" i="5"/>
  <c r="A43" i="5" s="1"/>
  <c r="B43" i="5" s="1"/>
  <c r="D15" i="5"/>
  <c r="A33" i="5" s="1"/>
  <c r="B33" i="5" s="1"/>
  <c r="A34" i="5"/>
  <c r="A55" i="5" s="1"/>
  <c r="D43" i="5"/>
  <c r="C64" i="5" s="1"/>
  <c r="C43" i="5"/>
  <c r="D42" i="5"/>
  <c r="C63" i="5" s="1"/>
  <c r="C42" i="5"/>
  <c r="B63" i="5" s="1"/>
  <c r="D41" i="5"/>
  <c r="C62" i="5" s="1"/>
  <c r="C41" i="5"/>
  <c r="B62" i="5" s="1"/>
  <c r="D40" i="5"/>
  <c r="C61" i="5" s="1"/>
  <c r="C40" i="5"/>
  <c r="D39" i="5"/>
  <c r="C60" i="5" s="1"/>
  <c r="C39" i="5"/>
  <c r="D38" i="5"/>
  <c r="C59" i="5" s="1"/>
  <c r="C38" i="5"/>
  <c r="D37" i="5"/>
  <c r="C58" i="5" s="1"/>
  <c r="C37" i="5"/>
  <c r="D36" i="5"/>
  <c r="C57" i="5" s="1"/>
  <c r="C36" i="5"/>
  <c r="B57" i="5" s="1"/>
  <c r="D35" i="5"/>
  <c r="C56" i="5" s="1"/>
  <c r="D68" i="5" l="1"/>
  <c r="E68" i="5"/>
  <c r="F68" i="5" s="1"/>
  <c r="D69" i="5"/>
  <c r="E69" i="5"/>
  <c r="F69" i="5" s="1"/>
  <c r="D60" i="5"/>
  <c r="E65" i="5"/>
  <c r="F65" i="5" s="1"/>
  <c r="D59" i="5"/>
  <c r="E61" i="5"/>
  <c r="F61" i="5" s="1"/>
  <c r="A69" i="5"/>
  <c r="C49" i="5"/>
  <c r="B70" i="5" s="1"/>
  <c r="E70" i="5" s="1"/>
  <c r="F70" i="5" s="1"/>
  <c r="B60" i="5"/>
  <c r="A68" i="5"/>
  <c r="B61" i="5"/>
  <c r="D58" i="5"/>
  <c r="A67" i="5"/>
  <c r="A66" i="5"/>
  <c r="B59" i="5"/>
  <c r="D66" i="5"/>
  <c r="D63" i="5"/>
  <c r="D62" i="5"/>
  <c r="D57" i="5"/>
  <c r="D70" i="5"/>
  <c r="B49" i="5"/>
  <c r="D61" i="5"/>
  <c r="E63" i="5"/>
  <c r="F63" i="5" s="1"/>
  <c r="A56" i="5"/>
  <c r="B35" i="5"/>
  <c r="E59" i="5"/>
  <c r="F59" i="5" s="1"/>
  <c r="E57" i="5"/>
  <c r="F57" i="5" s="1"/>
  <c r="E56" i="5"/>
  <c r="F56" i="5" s="1"/>
  <c r="E62" i="5"/>
  <c r="F62" i="5" s="1"/>
  <c r="E58" i="5"/>
  <c r="F58" i="5" s="1"/>
  <c r="E60" i="5"/>
  <c r="F60" i="5" s="1"/>
  <c r="D64" i="5"/>
  <c r="A64" i="5"/>
  <c r="A63" i="5"/>
  <c r="A62" i="5"/>
  <c r="A61" i="5"/>
  <c r="A59" i="5"/>
  <c r="A58" i="5"/>
  <c r="E55" i="5"/>
  <c r="A57" i="5"/>
  <c r="C70" i="5"/>
  <c r="B39" i="5"/>
  <c r="E64" i="5" l="1"/>
  <c r="F64" i="5" s="1"/>
  <c r="F55" i="5" l="1"/>
</calcChain>
</file>

<file path=xl/sharedStrings.xml><?xml version="1.0" encoding="utf-8"?>
<sst xmlns="http://schemas.openxmlformats.org/spreadsheetml/2006/main" count="38" uniqueCount="34">
  <si>
    <t>Instructions for the Users:</t>
  </si>
  <si>
    <t>Color code:</t>
  </si>
  <si>
    <t>insert your values from preliminary design</t>
  </si>
  <si>
    <t>Sections to be removed</t>
  </si>
  <si>
    <t>Sections to be added</t>
  </si>
  <si>
    <t>Check constraints</t>
  </si>
  <si>
    <t>r_hub [m]</t>
  </si>
  <si>
    <t>R [m]</t>
  </si>
  <si>
    <t>t/c</t>
  </si>
  <si>
    <t>TABLE 1</t>
  </si>
  <si>
    <t>r/R</t>
  </si>
  <si>
    <t>Lc [m]</t>
  </si>
  <si>
    <t>Theta [deg]</t>
  </si>
  <si>
    <t>r [m]</t>
  </si>
  <si>
    <t>Insert extra raws if your design has more elements</t>
  </si>
  <si>
    <t>TABLE 2</t>
  </si>
  <si>
    <t>r-r_hub [m]</t>
  </si>
  <si>
    <t xml:space="preserve">SECTION/S TO BE REMOVED: when r-r_hub&lt;0 </t>
  </si>
  <si>
    <t>SECTION ADDED: r=r_hub, Lc=cylinder diameter, Theta=a0</t>
  </si>
  <si>
    <t>SECTION ADDED: r=R, Lc=previous chord length, Theta=previous twist angle</t>
  </si>
  <si>
    <t>TABLE 3</t>
  </si>
  <si>
    <t>Is the chord length</t>
  </si>
  <si>
    <t>Is the thickness</t>
  </si>
  <si>
    <t>local radius [m]</t>
  </si>
  <si>
    <t>chord length [m]</t>
  </si>
  <si>
    <t>Twist [deg]</t>
  </si>
  <si>
    <t>within the constraint?</t>
  </si>
  <si>
    <t>thickness [m]</t>
  </si>
  <si>
    <t>Follow those steps:</t>
  </si>
  <si>
    <t>1. Table 1: insert radius and thickness-to-chord ratio</t>
  </si>
  <si>
    <t>3. Table 3: include hub and extra elemetns (table 2)</t>
  </si>
  <si>
    <t>2. Table 2: insert the values of your blade geomeotry.</t>
  </si>
  <si>
    <t>4. Table 4: check that all the constraints (yellow cells) are 'OK', otherwise correct the geometry accordingly</t>
  </si>
  <si>
    <t>TABLE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</si>
</sst>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0" borderId="10" xfId="0" applyBorder="1"/>
    <xf numFmtId="0" fontId="2" fillId="0" borderId="0" xfId="0" applyFont="1"/>
    <xf numFmtId="0" fontId="4" fillId="0" borderId="11" xfId="0" applyFont="1" applyBorder="1"/>
    <xf numFmtId="0" fontId="0" fillId="0" borderId="12" xfId="0" applyBorder="1"/>
    <xf numFmtId="0" fontId="0" fillId="3" borderId="10" xfId="0" applyFill="1" applyBorder="1"/>
    <xf numFmtId="0" fontId="0" fillId="0" borderId="0" xfId="0" applyAlignment="1">
      <alignment horizontal="center"/>
    </xf>
    <xf numFmtId="164" fontId="0" fillId="0" borderId="0" xfId="0" applyNumberFormat="1"/>
    <xf numFmtId="164" fontId="0" fillId="0" borderId="13" xfId="0" applyNumberFormat="1" applyBorder="1"/>
    <xf numFmtId="0" fontId="2" fillId="4" borderId="14" xfId="0" applyFont="1" applyFill="1" applyBorder="1"/>
    <xf numFmtId="0" fontId="4" fillId="4" borderId="14" xfId="0" applyFont="1" applyFill="1" applyBorder="1"/>
    <xf numFmtId="2" fontId="0" fillId="3" borderId="13" xfId="0" applyNumberFormat="1" applyFill="1" applyBorder="1"/>
    <xf numFmtId="164" fontId="0" fillId="3" borderId="13" xfId="0" applyNumberFormat="1" applyFill="1" applyBorder="1"/>
    <xf numFmtId="0" fontId="0" fillId="3" borderId="3" xfId="0" applyFill="1" applyBorder="1" applyAlignment="1">
      <alignment vertical="center" wrapText="1"/>
    </xf>
    <xf numFmtId="0" fontId="0" fillId="3" borderId="5" xfId="0" applyFill="1" applyBorder="1" applyAlignment="1">
      <alignment vertical="center" wrapText="1"/>
    </xf>
    <xf numFmtId="164" fontId="0" fillId="3" borderId="15" xfId="0" applyNumberFormat="1" applyFill="1" applyBorder="1"/>
    <xf numFmtId="2" fontId="0" fillId="3" borderId="15" xfId="0" applyNumberFormat="1" applyFill="1" applyBorder="1"/>
    <xf numFmtId="0" fontId="0" fillId="3" borderId="7" xfId="0" applyFill="1" applyBorder="1" applyAlignment="1">
      <alignment vertical="center" wrapText="1"/>
    </xf>
    <xf numFmtId="164" fontId="3" fillId="3" borderId="18" xfId="0" applyNumberFormat="1" applyFont="1" applyFill="1" applyBorder="1"/>
    <xf numFmtId="2" fontId="0" fillId="3" borderId="18" xfId="0" applyNumberFormat="1" applyFill="1" applyBorder="1"/>
    <xf numFmtId="0" fontId="0" fillId="3" borderId="8" xfId="0" applyFill="1" applyBorder="1"/>
    <xf numFmtId="0" fontId="0" fillId="0" borderId="16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7" xfId="0" applyBorder="1" applyAlignment="1">
      <alignment horizontal="center"/>
    </xf>
    <xf numFmtId="0" fontId="3" fillId="5" borderId="13" xfId="0" applyFont="1" applyFill="1" applyBorder="1"/>
    <xf numFmtId="164" fontId="3" fillId="5" borderId="13" xfId="0" applyNumberFormat="1" applyFont="1" applyFill="1" applyBorder="1"/>
    <xf numFmtId="0" fontId="3" fillId="0" borderId="13" xfId="0" applyFont="1" applyBorder="1"/>
    <xf numFmtId="0" fontId="3" fillId="5" borderId="3" xfId="0" applyFont="1" applyFill="1" applyBorder="1"/>
    <xf numFmtId="2" fontId="0" fillId="5" borderId="4" xfId="0" applyNumberFormat="1" applyFill="1" applyBorder="1"/>
    <xf numFmtId="0" fontId="3" fillId="0" borderId="3" xfId="0" applyFont="1" applyBorder="1"/>
    <xf numFmtId="2" fontId="0" fillId="0" borderId="4" xfId="0" applyNumberFormat="1" applyBorder="1"/>
    <xf numFmtId="0" fontId="3" fillId="5" borderId="5" xfId="0" applyFont="1" applyFill="1" applyBorder="1"/>
    <xf numFmtId="0" fontId="3" fillId="5" borderId="15" xfId="0" applyFont="1" applyFill="1" applyBorder="1"/>
    <xf numFmtId="164" fontId="0" fillId="5" borderId="15" xfId="0" applyNumberFormat="1" applyFill="1" applyBorder="1"/>
    <xf numFmtId="2" fontId="0" fillId="5" borderId="6" xfId="0" applyNumberFormat="1" applyFill="1" applyBorder="1"/>
    <xf numFmtId="0" fontId="3" fillId="2" borderId="7" xfId="0" applyFont="1" applyFill="1" applyBorder="1"/>
    <xf numFmtId="0" fontId="3" fillId="2" borderId="18" xfId="0" applyFont="1" applyFill="1" applyBorder="1"/>
    <xf numFmtId="164" fontId="3" fillId="2" borderId="18" xfId="0" applyNumberFormat="1" applyFont="1" applyFill="1" applyBorder="1"/>
    <xf numFmtId="2" fontId="0" fillId="2" borderId="8" xfId="0" applyNumberFormat="1" applyFill="1" applyBorder="1"/>
    <xf numFmtId="0" fontId="2" fillId="0" borderId="14" xfId="0" applyFont="1" applyBorder="1"/>
    <xf numFmtId="0" fontId="4" fillId="0" borderId="0" xfId="0" applyFont="1"/>
    <xf numFmtId="0" fontId="0" fillId="0" borderId="0" xfId="0" applyAlignment="1">
      <alignment vertical="center" wrapText="1"/>
    </xf>
    <xf numFmtId="2" fontId="0" fillId="0" borderId="0" xfId="0" applyNumberFormat="1"/>
    <xf numFmtId="0" fontId="2" fillId="0" borderId="11" xfId="0" applyFont="1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3" borderId="21" xfId="0" applyFill="1" applyBorder="1"/>
    <xf numFmtId="0" fontId="0" fillId="2" borderId="21" xfId="0" applyFill="1" applyBorder="1"/>
    <xf numFmtId="0" fontId="0" fillId="5" borderId="21" xfId="0" applyFill="1" applyBorder="1"/>
    <xf numFmtId="0" fontId="0" fillId="4" borderId="9" xfId="0" applyFill="1" applyBorder="1"/>
    <xf numFmtId="0" fontId="0" fillId="4" borderId="23" xfId="0" applyFill="1" applyBorder="1"/>
    <xf numFmtId="0" fontId="0" fillId="0" borderId="23" xfId="0" applyBorder="1"/>
    <xf numFmtId="0" fontId="4" fillId="0" borderId="21" xfId="0" applyFont="1" applyBorder="1"/>
    <xf numFmtId="0" fontId="0" fillId="3" borderId="22" xfId="0" applyFill="1" applyBorder="1"/>
    <xf numFmtId="0" fontId="2" fillId="0" borderId="9" xfId="0" applyFont="1" applyBorder="1"/>
    <xf numFmtId="0" fontId="2" fillId="4" borderId="24" xfId="0" applyFont="1" applyFill="1" applyBorder="1"/>
    <xf numFmtId="0" fontId="4" fillId="4" borderId="24" xfId="0" applyFont="1" applyFill="1" applyBorder="1"/>
    <xf numFmtId="164" fontId="0" fillId="3" borderId="25" xfId="0" applyNumberFormat="1" applyFill="1" applyBorder="1" applyAlignment="1">
      <alignment horizontal="right"/>
    </xf>
    <xf numFmtId="0" fontId="0" fillId="3" borderId="1" xfId="0" applyFill="1" applyBorder="1" applyAlignment="1">
      <alignment horizontal="right"/>
    </xf>
    <xf numFmtId="164" fontId="0" fillId="3" borderId="13" xfId="0" applyNumberFormat="1" applyFill="1" applyBorder="1" applyAlignment="1">
      <alignment horizontal="right"/>
    </xf>
    <xf numFmtId="2" fontId="1" fillId="4" borderId="13" xfId="0" applyNumberFormat="1" applyFont="1" applyFill="1" applyBorder="1" applyAlignment="1">
      <alignment vertical="center" wrapText="1"/>
    </xf>
    <xf numFmtId="164" fontId="1" fillId="0" borderId="13" xfId="0" applyNumberFormat="1" applyFont="1" applyBorder="1" applyAlignment="1">
      <alignment vertical="center" wrapText="1"/>
    </xf>
    <xf numFmtId="2" fontId="1" fillId="4" borderId="25" xfId="0" applyNumberFormat="1" applyFont="1" applyFill="1" applyBorder="1" applyAlignment="1">
      <alignment vertical="center" wrapText="1"/>
    </xf>
    <xf numFmtId="164" fontId="1" fillId="0" borderId="25" xfId="0" applyNumberFormat="1" applyFont="1" applyBorder="1" applyAlignment="1">
      <alignment vertical="center" wrapText="1"/>
    </xf>
    <xf numFmtId="2" fontId="1" fillId="4" borderId="2" xfId="0" applyNumberFormat="1" applyFont="1" applyFill="1" applyBorder="1" applyAlignment="1">
      <alignment vertical="center" wrapText="1"/>
    </xf>
    <xf numFmtId="0" fontId="0" fillId="3" borderId="3" xfId="0" applyFill="1" applyBorder="1" applyAlignment="1">
      <alignment horizontal="right"/>
    </xf>
    <xf numFmtId="2" fontId="1" fillId="4" borderId="4" xfId="0" applyNumberFormat="1" applyFont="1" applyFill="1" applyBorder="1" applyAlignment="1">
      <alignment vertical="center" wrapText="1"/>
    </xf>
    <xf numFmtId="0" fontId="0" fillId="3" borderId="5" xfId="0" applyFill="1" applyBorder="1" applyAlignment="1">
      <alignment horizontal="right"/>
    </xf>
    <xf numFmtId="164" fontId="0" fillId="3" borderId="15" xfId="0" applyNumberFormat="1" applyFill="1" applyBorder="1" applyAlignment="1">
      <alignment horizontal="right"/>
    </xf>
    <xf numFmtId="2" fontId="1" fillId="4" borderId="15" xfId="0" applyNumberFormat="1" applyFont="1" applyFill="1" applyBorder="1" applyAlignment="1">
      <alignment vertical="center" wrapText="1"/>
    </xf>
    <xf numFmtId="164" fontId="1" fillId="0" borderId="15" xfId="0" applyNumberFormat="1" applyFont="1" applyBorder="1" applyAlignment="1">
      <alignment vertical="center" wrapText="1"/>
    </xf>
    <xf numFmtId="2" fontId="1" fillId="4" borderId="6" xfId="0" applyNumberFormat="1" applyFont="1" applyFill="1" applyBorder="1" applyAlignment="1">
      <alignment vertical="center" wrapText="1"/>
    </xf>
    <xf numFmtId="0" fontId="5" fillId="0" borderId="0" xfId="0" applyFont="1"/>
    <xf numFmtId="0" fontId="0" fillId="3" borderId="0" xfId="0" applyFill="1"/>
    <xf numFmtId="0" fontId="0" fillId="2" borderId="0" xfId="0" applyFill="1"/>
    <xf numFmtId="0" fontId="0" fillId="5" borderId="0" xfId="0" applyFill="1"/>
    <xf numFmtId="0" fontId="0" fillId="3" borderId="0" xfId="0" applyFill="1" applyBorder="1" applyAlignment="1">
      <alignment vertical="center" wrapText="1"/>
    </xf>
    <xf numFmtId="164" fontId="0" fillId="3" borderId="0" xfId="0" applyNumberFormat="1" applyFill="1" applyBorder="1"/>
    <xf numFmtId="2" fontId="0" fillId="3" borderId="0" xfId="0" applyNumberFormat="1" applyFill="1" applyBorder="1"/>
    <xf numFmtId="0" fontId="0" fillId="3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Chord lenght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'Insert and Adjust Data'!$A$34:$A$49</c:f>
              <c:numCache>
                <c:formatCode>General</c:formatCode>
                <c:ptCount val="16"/>
                <c:pt idx="0">
                  <c:v>0.03</c:v>
                </c:pt>
                <c:pt idx="1">
                  <c:v>0.03</c:v>
                </c:pt>
                <c:pt idx="2">
                  <c:v>5.0099999999999999E-2</c:v>
                </c:pt>
                <c:pt idx="3">
                  <c:v>6.9900000000000004E-2</c:v>
                </c:pt>
                <c:pt idx="4">
                  <c:v>0.09</c:v>
                </c:pt>
                <c:pt idx="5">
                  <c:v>0.11009999999999999</c:v>
                </c:pt>
                <c:pt idx="6">
                  <c:v>0.12989999999999999</c:v>
                </c:pt>
                <c:pt idx="7">
                  <c:v>0.15</c:v>
                </c:pt>
                <c:pt idx="8">
                  <c:v>0.17009999999999997</c:v>
                </c:pt>
                <c:pt idx="9">
                  <c:v>0.18989999999999999</c:v>
                </c:pt>
                <c:pt idx="10">
                  <c:v>0.21</c:v>
                </c:pt>
                <c:pt idx="11">
                  <c:v>0.2301</c:v>
                </c:pt>
                <c:pt idx="12">
                  <c:v>0.24989999999999998</c:v>
                </c:pt>
                <c:pt idx="13">
                  <c:v>0.27</c:v>
                </c:pt>
                <c:pt idx="14">
                  <c:v>0.29009999999999997</c:v>
                </c:pt>
                <c:pt idx="15">
                  <c:v>0.3</c:v>
                </c:pt>
              </c:numCache>
            </c:numRef>
          </c:xVal>
          <c:yVal>
            <c:numRef>
              <c:f>'Insert and Adjust Data'!$C$34:$C$49</c:f>
              <c:numCache>
                <c:formatCode>0.0000</c:formatCode>
                <c:ptCount val="16"/>
                <c:pt idx="0">
                  <c:v>4.8000000000000001E-2</c:v>
                </c:pt>
                <c:pt idx="1">
                  <c:v>0.12602999999999998</c:v>
                </c:pt>
                <c:pt idx="2">
                  <c:v>0.14618999999999999</c:v>
                </c:pt>
                <c:pt idx="3">
                  <c:v>0.14435999999999999</c:v>
                </c:pt>
                <c:pt idx="4">
                  <c:v>0.13446</c:v>
                </c:pt>
                <c:pt idx="5">
                  <c:v>0.12264</c:v>
                </c:pt>
                <c:pt idx="6">
                  <c:v>0.11126999999999999</c:v>
                </c:pt>
                <c:pt idx="7">
                  <c:v>0.10110000000000001</c:v>
                </c:pt>
                <c:pt idx="8">
                  <c:v>9.2190000000000008E-2</c:v>
                </c:pt>
                <c:pt idx="9">
                  <c:v>8.4510000000000002E-2</c:v>
                </c:pt>
                <c:pt idx="10">
                  <c:v>7.7850000000000003E-2</c:v>
                </c:pt>
                <c:pt idx="11">
                  <c:v>7.2059999999999999E-2</c:v>
                </c:pt>
                <c:pt idx="12">
                  <c:v>6.7019999999999996E-2</c:v>
                </c:pt>
                <c:pt idx="13">
                  <c:v>6.2609999999999999E-2</c:v>
                </c:pt>
                <c:pt idx="14">
                  <c:v>5.8679999999999996E-2</c:v>
                </c:pt>
                <c:pt idx="15">
                  <c:v>5.8679999999999996E-2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F38-5B4A-ADC8-974163C870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7593760"/>
        <c:axId val="1058976048"/>
      </c:scatterChart>
      <c:valAx>
        <c:axId val="1807593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O"/>
          </a:p>
        </c:txPr>
        <c:crossAx val="1058976048"/>
        <c:crosses val="autoZero"/>
        <c:crossBetween val="midCat"/>
      </c:valAx>
      <c:valAx>
        <c:axId val="1058976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O"/>
          </a:p>
        </c:txPr>
        <c:crossAx val="1807593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Twist angle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'Insert and Adjust Data'!$A$34:$A$49</c:f>
              <c:numCache>
                <c:formatCode>General</c:formatCode>
                <c:ptCount val="16"/>
                <c:pt idx="0">
                  <c:v>0.03</c:v>
                </c:pt>
                <c:pt idx="1">
                  <c:v>0.03</c:v>
                </c:pt>
                <c:pt idx="2">
                  <c:v>5.0099999999999999E-2</c:v>
                </c:pt>
                <c:pt idx="3">
                  <c:v>6.9900000000000004E-2</c:v>
                </c:pt>
                <c:pt idx="4">
                  <c:v>0.09</c:v>
                </c:pt>
                <c:pt idx="5">
                  <c:v>0.11009999999999999</c:v>
                </c:pt>
                <c:pt idx="6">
                  <c:v>0.12989999999999999</c:v>
                </c:pt>
                <c:pt idx="7">
                  <c:v>0.15</c:v>
                </c:pt>
                <c:pt idx="8">
                  <c:v>0.17009999999999997</c:v>
                </c:pt>
                <c:pt idx="9">
                  <c:v>0.18989999999999999</c:v>
                </c:pt>
                <c:pt idx="10">
                  <c:v>0.21</c:v>
                </c:pt>
                <c:pt idx="11">
                  <c:v>0.2301</c:v>
                </c:pt>
                <c:pt idx="12">
                  <c:v>0.24989999999999998</c:v>
                </c:pt>
                <c:pt idx="13">
                  <c:v>0.27</c:v>
                </c:pt>
                <c:pt idx="14">
                  <c:v>0.29009999999999997</c:v>
                </c:pt>
                <c:pt idx="15">
                  <c:v>0.3</c:v>
                </c:pt>
              </c:numCache>
            </c:numRef>
          </c:xVal>
          <c:yVal>
            <c:numRef>
              <c:f>'Insert and Adjust Data'!$D$34:$D$49</c:f>
              <c:numCache>
                <c:formatCode>0.00</c:formatCode>
                <c:ptCount val="16"/>
                <c:pt idx="0">
                  <c:v>0</c:v>
                </c:pt>
                <c:pt idx="1">
                  <c:v>39.548999999999999</c:v>
                </c:pt>
                <c:pt idx="2">
                  <c:v>31.623000000000001</c:v>
                </c:pt>
                <c:pt idx="3">
                  <c:v>25.4</c:v>
                </c:pt>
                <c:pt idx="4">
                  <c:v>20.62</c:v>
                </c:pt>
                <c:pt idx="5">
                  <c:v>16.940999999999999</c:v>
                </c:pt>
                <c:pt idx="6">
                  <c:v>14.071</c:v>
                </c:pt>
                <c:pt idx="7">
                  <c:v>11.792999999999999</c:v>
                </c:pt>
                <c:pt idx="8">
                  <c:v>9.9540000000000006</c:v>
                </c:pt>
                <c:pt idx="9">
                  <c:v>8.4440000000000008</c:v>
                </c:pt>
                <c:pt idx="10">
                  <c:v>7.1859999999999999</c:v>
                </c:pt>
                <c:pt idx="11">
                  <c:v>6.1230000000000002</c:v>
                </c:pt>
                <c:pt idx="12">
                  <c:v>5.2160000000000002</c:v>
                </c:pt>
                <c:pt idx="13">
                  <c:v>4.4320000000000004</c:v>
                </c:pt>
                <c:pt idx="14">
                  <c:v>3.75</c:v>
                </c:pt>
                <c:pt idx="15">
                  <c:v>3.75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782-AE47-B52C-83D978D324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7593760"/>
        <c:axId val="1058976048"/>
      </c:scatterChart>
      <c:valAx>
        <c:axId val="1807593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O"/>
          </a:p>
        </c:txPr>
        <c:crossAx val="1058976048"/>
        <c:crosses val="autoZero"/>
        <c:crossBetween val="midCat"/>
      </c:valAx>
      <c:valAx>
        <c:axId val="1058976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O"/>
          </a:p>
        </c:txPr>
        <c:crossAx val="1807593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57150</xdr:colOff>
      <xdr:row>8</xdr:row>
      <xdr:rowOff>82550</xdr:rowOff>
    </xdr:from>
    <xdr:to>
      <xdr:col>13</xdr:col>
      <xdr:colOff>501650</xdr:colOff>
      <xdr:row>21</xdr:row>
      <xdr:rowOff>146050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7CB8610-9600-DB9C-5874-EEECB0A398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165100</xdr:colOff>
      <xdr:row>22</xdr:row>
      <xdr:rowOff>101600</xdr:rowOff>
    </xdr:from>
    <xdr:to>
      <xdr:col>13</xdr:col>
      <xdr:colOff>609600</xdr:colOff>
      <xdr:row>40</xdr:row>
      <xdr:rowOff>165100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907F99B-2651-3B45-831A-A07F243D16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FBA74-BE78-0640-8F5D-48ACD03B3A4F}">
  <dimension ref="A1:M70"/>
  <sheetViews>
    <sheetView tabSelected="1" topLeftCell="A45" zoomScaleNormal="100" workbookViewId="0">
      <selection activeCell="H60" sqref="H60"/>
    </sheetView>
  </sheetViews>
  <sheetFormatPr defaultColWidth="11.125" defaultRowHeight="15.75" x14ac:dyDescent="0.25"/>
  <cols>
    <col min="1" max="1" width="12.625" bestFit="1" customWidth="1"/>
    <col min="2" max="3" width="16.5" bestFit="1" customWidth="1"/>
    <col min="4" max="4" width="20.625" customWidth="1"/>
    <col min="5" max="5" width="16.5" customWidth="1"/>
    <col min="6" max="6" width="19.125" bestFit="1" customWidth="1"/>
    <col min="7" max="7" width="14.5" bestFit="1" customWidth="1"/>
    <col min="11" max="12" width="10.625" customWidth="1"/>
  </cols>
  <sheetData>
    <row r="1" spans="1:13" x14ac:dyDescent="0.25">
      <c r="A1" s="43" t="s">
        <v>0</v>
      </c>
      <c r="B1" s="44"/>
      <c r="C1" s="44"/>
      <c r="D1" s="44"/>
      <c r="E1" s="44"/>
      <c r="F1" s="44"/>
      <c r="G1" s="44"/>
      <c r="H1" s="44"/>
      <c r="I1" s="4"/>
    </row>
    <row r="2" spans="1:13" x14ac:dyDescent="0.25">
      <c r="A2" s="45" t="s">
        <v>1</v>
      </c>
      <c r="D2" s="73" t="s">
        <v>28</v>
      </c>
      <c r="I2" s="46"/>
    </row>
    <row r="3" spans="1:13" x14ac:dyDescent="0.25">
      <c r="A3" s="47" t="s">
        <v>2</v>
      </c>
      <c r="B3" s="74"/>
      <c r="C3" s="74"/>
      <c r="D3" t="s">
        <v>29</v>
      </c>
      <c r="I3" s="46"/>
    </row>
    <row r="4" spans="1:13" x14ac:dyDescent="0.25">
      <c r="A4" s="48" t="s">
        <v>3</v>
      </c>
      <c r="B4" s="75"/>
      <c r="D4" t="s">
        <v>31</v>
      </c>
      <c r="I4" s="46"/>
    </row>
    <row r="5" spans="1:13" x14ac:dyDescent="0.25">
      <c r="A5" s="49" t="s">
        <v>4</v>
      </c>
      <c r="B5" s="76"/>
      <c r="D5" t="s">
        <v>30</v>
      </c>
      <c r="I5" s="46"/>
    </row>
    <row r="6" spans="1:13" ht="16.5" thickBot="1" x14ac:dyDescent="0.3">
      <c r="A6" s="50" t="s">
        <v>5</v>
      </c>
      <c r="B6" s="51"/>
      <c r="C6" s="52"/>
      <c r="D6" s="52" t="s">
        <v>32</v>
      </c>
      <c r="E6" s="52"/>
      <c r="F6" s="52"/>
      <c r="G6" s="52"/>
      <c r="H6" s="52"/>
      <c r="I6" s="1"/>
    </row>
    <row r="8" spans="1:13" ht="16.5" thickBot="1" x14ac:dyDescent="0.3">
      <c r="A8" s="2" t="s">
        <v>9</v>
      </c>
    </row>
    <row r="9" spans="1:13" x14ac:dyDescent="0.25">
      <c r="A9" s="3" t="s">
        <v>6</v>
      </c>
      <c r="B9" s="4">
        <v>0.03</v>
      </c>
    </row>
    <row r="10" spans="1:13" x14ac:dyDescent="0.25">
      <c r="A10" s="53" t="s">
        <v>7</v>
      </c>
      <c r="B10" s="54">
        <v>0.3</v>
      </c>
    </row>
    <row r="11" spans="1:13" ht="16.5" thickBot="1" x14ac:dyDescent="0.3">
      <c r="A11" s="55" t="s">
        <v>8</v>
      </c>
      <c r="B11" s="5">
        <v>0.14000000000000001</v>
      </c>
    </row>
    <row r="12" spans="1:13" x14ac:dyDescent="0.25">
      <c r="A12" s="40"/>
    </row>
    <row r="13" spans="1:13" ht="16.5" thickBot="1" x14ac:dyDescent="0.3">
      <c r="A13" s="40" t="s">
        <v>15</v>
      </c>
    </row>
    <row r="14" spans="1:13" ht="16.5" thickBot="1" x14ac:dyDescent="0.3">
      <c r="A14" s="21" t="s">
        <v>10</v>
      </c>
      <c r="B14" s="22" t="s">
        <v>11</v>
      </c>
      <c r="C14" s="22" t="s">
        <v>12</v>
      </c>
      <c r="D14" s="23" t="s">
        <v>13</v>
      </c>
      <c r="I14" s="6"/>
      <c r="J14" s="6"/>
      <c r="K14" s="6"/>
      <c r="L14" s="6"/>
      <c r="M14" s="6"/>
    </row>
    <row r="15" spans="1:13" x14ac:dyDescent="0.25">
      <c r="A15" s="17">
        <v>3.3000000000000002E-2</v>
      </c>
      <c r="B15" s="18">
        <v>5.9490000000000001E-2</v>
      </c>
      <c r="C15" s="19">
        <v>49.02</v>
      </c>
      <c r="D15" s="20">
        <f>A15*$B$10</f>
        <v>9.9000000000000008E-3</v>
      </c>
      <c r="E15" t="s">
        <v>14</v>
      </c>
    </row>
    <row r="16" spans="1:13" x14ac:dyDescent="0.25">
      <c r="A16" s="13">
        <v>0.1</v>
      </c>
      <c r="B16" s="12">
        <v>0.12602999999999998</v>
      </c>
      <c r="C16" s="11">
        <v>39.548999999999999</v>
      </c>
      <c r="D16" s="20">
        <f t="shared" ref="D16:D29" si="0">A16*$B$10</f>
        <v>0.03</v>
      </c>
    </row>
    <row r="17" spans="1:4" x14ac:dyDescent="0.25">
      <c r="A17" s="13">
        <v>0.16700000000000001</v>
      </c>
      <c r="B17" s="12">
        <v>0.14618999999999999</v>
      </c>
      <c r="C17" s="11">
        <v>31.623000000000001</v>
      </c>
      <c r="D17" s="20">
        <f t="shared" si="0"/>
        <v>5.0099999999999999E-2</v>
      </c>
    </row>
    <row r="18" spans="1:4" x14ac:dyDescent="0.25">
      <c r="A18" s="13">
        <v>0.23300000000000001</v>
      </c>
      <c r="B18" s="12">
        <v>0.14435999999999999</v>
      </c>
      <c r="C18" s="11">
        <v>25.4</v>
      </c>
      <c r="D18" s="20">
        <f t="shared" si="0"/>
        <v>6.9900000000000004E-2</v>
      </c>
    </row>
    <row r="19" spans="1:4" x14ac:dyDescent="0.25">
      <c r="A19" s="13">
        <v>0.3</v>
      </c>
      <c r="B19" s="12">
        <v>0.13446</v>
      </c>
      <c r="C19" s="11">
        <v>20.62</v>
      </c>
      <c r="D19" s="20">
        <f t="shared" si="0"/>
        <v>0.09</v>
      </c>
    </row>
    <row r="20" spans="1:4" x14ac:dyDescent="0.25">
      <c r="A20" s="13">
        <v>0.36699999999999999</v>
      </c>
      <c r="B20" s="12">
        <v>0.12264</v>
      </c>
      <c r="C20" s="11">
        <v>16.940999999999999</v>
      </c>
      <c r="D20" s="20">
        <f t="shared" si="0"/>
        <v>0.11009999999999999</v>
      </c>
    </row>
    <row r="21" spans="1:4" x14ac:dyDescent="0.25">
      <c r="A21" s="13">
        <v>0.433</v>
      </c>
      <c r="B21" s="12">
        <v>0.11126999999999999</v>
      </c>
      <c r="C21" s="11">
        <v>14.071</v>
      </c>
      <c r="D21" s="20">
        <f t="shared" si="0"/>
        <v>0.12989999999999999</v>
      </c>
    </row>
    <row r="22" spans="1:4" x14ac:dyDescent="0.25">
      <c r="A22" s="13">
        <v>0.5</v>
      </c>
      <c r="B22" s="12">
        <v>0.10110000000000001</v>
      </c>
      <c r="C22" s="11">
        <v>11.792999999999999</v>
      </c>
      <c r="D22" s="20">
        <f t="shared" si="0"/>
        <v>0.15</v>
      </c>
    </row>
    <row r="23" spans="1:4" x14ac:dyDescent="0.25">
      <c r="A23" s="13">
        <v>0.56699999999999995</v>
      </c>
      <c r="B23" s="12">
        <v>9.2190000000000008E-2</v>
      </c>
      <c r="C23" s="11">
        <v>9.9540000000000006</v>
      </c>
      <c r="D23" s="20">
        <f t="shared" si="0"/>
        <v>0.17009999999999997</v>
      </c>
    </row>
    <row r="24" spans="1:4" ht="16.5" thickBot="1" x14ac:dyDescent="0.3">
      <c r="A24" s="14">
        <v>0.63300000000000001</v>
      </c>
      <c r="B24" s="15">
        <v>8.4510000000000002E-2</v>
      </c>
      <c r="C24" s="16">
        <v>8.4440000000000008</v>
      </c>
      <c r="D24" s="20">
        <f t="shared" si="0"/>
        <v>0.18989999999999999</v>
      </c>
    </row>
    <row r="25" spans="1:4" x14ac:dyDescent="0.25">
      <c r="A25" s="77">
        <v>0.7</v>
      </c>
      <c r="B25" s="78">
        <v>7.7850000000000003E-2</v>
      </c>
      <c r="C25" s="79">
        <v>7.1859999999999999</v>
      </c>
      <c r="D25" s="80">
        <f t="shared" si="0"/>
        <v>0.21</v>
      </c>
    </row>
    <row r="26" spans="1:4" x14ac:dyDescent="0.25">
      <c r="A26" s="77">
        <v>0.76700000000000002</v>
      </c>
      <c r="B26" s="78">
        <v>7.2059999999999999E-2</v>
      </c>
      <c r="C26" s="79">
        <v>6.1230000000000002</v>
      </c>
      <c r="D26" s="80">
        <f t="shared" si="0"/>
        <v>0.2301</v>
      </c>
    </row>
    <row r="27" spans="1:4" x14ac:dyDescent="0.25">
      <c r="A27" s="77">
        <v>0.83299999999999996</v>
      </c>
      <c r="B27" s="78">
        <v>6.7019999999999996E-2</v>
      </c>
      <c r="C27" s="79">
        <v>5.2160000000000002</v>
      </c>
      <c r="D27" s="80">
        <f t="shared" si="0"/>
        <v>0.24989999999999998</v>
      </c>
    </row>
    <row r="28" spans="1:4" x14ac:dyDescent="0.25">
      <c r="A28" s="77">
        <v>0.9</v>
      </c>
      <c r="B28" s="78">
        <v>6.2609999999999999E-2</v>
      </c>
      <c r="C28" s="79">
        <v>4.4320000000000004</v>
      </c>
      <c r="D28" s="80">
        <f t="shared" si="0"/>
        <v>0.27</v>
      </c>
    </row>
    <row r="29" spans="1:4" x14ac:dyDescent="0.25">
      <c r="A29" s="77">
        <v>0.96699999999999997</v>
      </c>
      <c r="B29" s="78">
        <v>5.8679999999999996E-2</v>
      </c>
      <c r="C29" s="79">
        <v>3.75</v>
      </c>
      <c r="D29" s="80">
        <f t="shared" si="0"/>
        <v>0.29009999999999997</v>
      </c>
    </row>
    <row r="30" spans="1:4" x14ac:dyDescent="0.25">
      <c r="A30" s="41"/>
      <c r="B30" s="7"/>
      <c r="C30" s="42"/>
    </row>
    <row r="31" spans="1:4" ht="16.5" thickBot="1" x14ac:dyDescent="0.3">
      <c r="A31" s="2" t="s">
        <v>20</v>
      </c>
    </row>
    <row r="32" spans="1:4" ht="16.5" thickBot="1" x14ac:dyDescent="0.3">
      <c r="A32" s="21" t="s">
        <v>13</v>
      </c>
      <c r="B32" s="22" t="s">
        <v>16</v>
      </c>
      <c r="C32" s="22" t="s">
        <v>11</v>
      </c>
      <c r="D32" s="23" t="s">
        <v>12</v>
      </c>
    </row>
    <row r="33" spans="1:5" x14ac:dyDescent="0.25">
      <c r="A33" s="35">
        <f>D15</f>
        <v>9.9000000000000008E-3</v>
      </c>
      <c r="B33" s="36">
        <f>A33-$B$9</f>
        <v>-2.01E-2</v>
      </c>
      <c r="C33" s="37">
        <f>B15</f>
        <v>5.9490000000000001E-2</v>
      </c>
      <c r="D33" s="38">
        <f>C15</f>
        <v>49.02</v>
      </c>
      <c r="E33" t="s">
        <v>17</v>
      </c>
    </row>
    <row r="34" spans="1:5" x14ac:dyDescent="0.25">
      <c r="A34" s="27">
        <f>$B$9</f>
        <v>0.03</v>
      </c>
      <c r="B34" s="24">
        <v>0</v>
      </c>
      <c r="C34" s="25">
        <v>4.8000000000000001E-2</v>
      </c>
      <c r="D34" s="28">
        <v>0</v>
      </c>
      <c r="E34" t="s">
        <v>18</v>
      </c>
    </row>
    <row r="35" spans="1:5" x14ac:dyDescent="0.25">
      <c r="A35" s="29">
        <f>D16</f>
        <v>0.03</v>
      </c>
      <c r="B35" s="26">
        <f t="shared" ref="B35:B49" si="1">A35-$B$9</f>
        <v>0</v>
      </c>
      <c r="C35" s="8">
        <f>B16</f>
        <v>0.12602999999999998</v>
      </c>
      <c r="D35" s="30">
        <f>C16</f>
        <v>39.548999999999999</v>
      </c>
    </row>
    <row r="36" spans="1:5" x14ac:dyDescent="0.25">
      <c r="A36" s="29">
        <f>D17</f>
        <v>5.0099999999999999E-2</v>
      </c>
      <c r="B36" s="26">
        <f t="shared" si="1"/>
        <v>2.01E-2</v>
      </c>
      <c r="C36" s="8">
        <f>B17</f>
        <v>0.14618999999999999</v>
      </c>
      <c r="D36" s="30">
        <f>C17</f>
        <v>31.623000000000001</v>
      </c>
    </row>
    <row r="37" spans="1:5" x14ac:dyDescent="0.25">
      <c r="A37" s="29">
        <f>D18</f>
        <v>6.9900000000000004E-2</v>
      </c>
      <c r="B37" s="26">
        <f t="shared" si="1"/>
        <v>3.9900000000000005E-2</v>
      </c>
      <c r="C37" s="8">
        <f>B18</f>
        <v>0.14435999999999999</v>
      </c>
      <c r="D37" s="30">
        <f>C18</f>
        <v>25.4</v>
      </c>
    </row>
    <row r="38" spans="1:5" x14ac:dyDescent="0.25">
      <c r="A38" s="29">
        <f>D19</f>
        <v>0.09</v>
      </c>
      <c r="B38" s="26">
        <f t="shared" si="1"/>
        <v>0.06</v>
      </c>
      <c r="C38" s="8">
        <f>B19</f>
        <v>0.13446</v>
      </c>
      <c r="D38" s="30">
        <f>C19</f>
        <v>20.62</v>
      </c>
    </row>
    <row r="39" spans="1:5" x14ac:dyDescent="0.25">
      <c r="A39" s="29">
        <f>D20</f>
        <v>0.11009999999999999</v>
      </c>
      <c r="B39" s="26">
        <f t="shared" si="1"/>
        <v>8.0099999999999991E-2</v>
      </c>
      <c r="C39" s="8">
        <f>B20</f>
        <v>0.12264</v>
      </c>
      <c r="D39" s="30">
        <f>C20</f>
        <v>16.940999999999999</v>
      </c>
    </row>
    <row r="40" spans="1:5" x14ac:dyDescent="0.25">
      <c r="A40" s="29">
        <f>D21</f>
        <v>0.12989999999999999</v>
      </c>
      <c r="B40" s="26">
        <f t="shared" si="1"/>
        <v>9.9899999999999989E-2</v>
      </c>
      <c r="C40" s="8">
        <f>B21</f>
        <v>0.11126999999999999</v>
      </c>
      <c r="D40" s="30">
        <f>C21</f>
        <v>14.071</v>
      </c>
    </row>
    <row r="41" spans="1:5" x14ac:dyDescent="0.25">
      <c r="A41" s="29">
        <f>D22</f>
        <v>0.15</v>
      </c>
      <c r="B41" s="26">
        <f t="shared" si="1"/>
        <v>0.12</v>
      </c>
      <c r="C41" s="8">
        <f>B22</f>
        <v>0.10110000000000001</v>
      </c>
      <c r="D41" s="30">
        <f>C22</f>
        <v>11.792999999999999</v>
      </c>
    </row>
    <row r="42" spans="1:5" x14ac:dyDescent="0.25">
      <c r="A42" s="29">
        <f>D23</f>
        <v>0.17009999999999997</v>
      </c>
      <c r="B42" s="26">
        <f t="shared" si="1"/>
        <v>0.14009999999999997</v>
      </c>
      <c r="C42" s="8">
        <f>B23</f>
        <v>9.2190000000000008E-2</v>
      </c>
      <c r="D42" s="30">
        <f>C23</f>
        <v>9.9540000000000006</v>
      </c>
    </row>
    <row r="43" spans="1:5" x14ac:dyDescent="0.25">
      <c r="A43" s="29">
        <f>D24</f>
        <v>0.18989999999999999</v>
      </c>
      <c r="B43" s="26">
        <f t="shared" si="1"/>
        <v>0.15989999999999999</v>
      </c>
      <c r="C43" s="8">
        <f>B24</f>
        <v>8.4510000000000002E-2</v>
      </c>
      <c r="D43" s="30">
        <f>C24</f>
        <v>8.4440000000000008</v>
      </c>
    </row>
    <row r="44" spans="1:5" x14ac:dyDescent="0.25">
      <c r="A44" s="29">
        <f>D25</f>
        <v>0.21</v>
      </c>
      <c r="B44" s="26">
        <f t="shared" si="1"/>
        <v>0.18</v>
      </c>
      <c r="C44" s="8">
        <f>B25</f>
        <v>7.7850000000000003E-2</v>
      </c>
      <c r="D44" s="30">
        <f>C25</f>
        <v>7.1859999999999999</v>
      </c>
    </row>
    <row r="45" spans="1:5" x14ac:dyDescent="0.25">
      <c r="A45" s="29">
        <f>D26</f>
        <v>0.2301</v>
      </c>
      <c r="B45" s="26">
        <f t="shared" si="1"/>
        <v>0.2001</v>
      </c>
      <c r="C45" s="8">
        <f>B26</f>
        <v>7.2059999999999999E-2</v>
      </c>
      <c r="D45" s="30">
        <f>C26</f>
        <v>6.1230000000000002</v>
      </c>
    </row>
    <row r="46" spans="1:5" x14ac:dyDescent="0.25">
      <c r="A46" s="29">
        <f>D27</f>
        <v>0.24989999999999998</v>
      </c>
      <c r="B46" s="26">
        <f t="shared" si="1"/>
        <v>0.21989999999999998</v>
      </c>
      <c r="C46" s="8">
        <f>B27</f>
        <v>6.7019999999999996E-2</v>
      </c>
      <c r="D46" s="30">
        <f>C27</f>
        <v>5.2160000000000002</v>
      </c>
    </row>
    <row r="47" spans="1:5" x14ac:dyDescent="0.25">
      <c r="A47" s="29">
        <f>D28</f>
        <v>0.27</v>
      </c>
      <c r="B47" s="26">
        <f t="shared" si="1"/>
        <v>0.24000000000000002</v>
      </c>
      <c r="C47" s="8">
        <f>B28</f>
        <v>6.2609999999999999E-2</v>
      </c>
      <c r="D47" s="30">
        <f>C28</f>
        <v>4.4320000000000004</v>
      </c>
    </row>
    <row r="48" spans="1:5" x14ac:dyDescent="0.25">
      <c r="A48" s="29">
        <f>D29</f>
        <v>0.29009999999999997</v>
      </c>
      <c r="B48" s="26">
        <f t="shared" si="1"/>
        <v>0.2601</v>
      </c>
      <c r="C48" s="8">
        <f>B29</f>
        <v>5.8679999999999996E-2</v>
      </c>
      <c r="D48" s="30">
        <f>C29</f>
        <v>3.75</v>
      </c>
    </row>
    <row r="49" spans="1:6" ht="16.5" thickBot="1" x14ac:dyDescent="0.3">
      <c r="A49" s="31">
        <f>$B$10</f>
        <v>0.3</v>
      </c>
      <c r="B49" s="32">
        <f t="shared" si="1"/>
        <v>0.27</v>
      </c>
      <c r="C49" s="33">
        <f>C48</f>
        <v>5.8679999999999996E-2</v>
      </c>
      <c r="D49" s="34">
        <f>D48</f>
        <v>3.75</v>
      </c>
      <c r="E49" t="s">
        <v>19</v>
      </c>
    </row>
    <row r="52" spans="1:6" ht="16.5" thickBot="1" x14ac:dyDescent="0.3"/>
    <row r="53" spans="1:6" ht="16.5" thickBot="1" x14ac:dyDescent="0.3">
      <c r="A53" s="2" t="s">
        <v>33</v>
      </c>
      <c r="D53" s="9" t="s">
        <v>21</v>
      </c>
      <c r="F53" s="10" t="s">
        <v>22</v>
      </c>
    </row>
    <row r="54" spans="1:6" ht="16.5" thickBot="1" x14ac:dyDescent="0.3">
      <c r="A54" s="39" t="s">
        <v>23</v>
      </c>
      <c r="B54" s="39" t="s">
        <v>24</v>
      </c>
      <c r="C54" s="39" t="s">
        <v>25</v>
      </c>
      <c r="D54" s="56" t="s">
        <v>26</v>
      </c>
      <c r="E54" s="39" t="s">
        <v>27</v>
      </c>
      <c r="F54" s="57" t="s">
        <v>26</v>
      </c>
    </row>
    <row r="55" spans="1:6" x14ac:dyDescent="0.25">
      <c r="A55" s="59">
        <f>A34</f>
        <v>0.03</v>
      </c>
      <c r="B55" s="58">
        <f>(C34)*0.683310533515731</f>
        <v>3.2798905608755091E-2</v>
      </c>
      <c r="C55" s="58">
        <f>D34</f>
        <v>0</v>
      </c>
      <c r="D55" s="63" t="str">
        <f>IF(B55&gt;0.1, "Too long chord length", IF(B55&gt;=0.04, "OK", "Too short chord length"))</f>
        <v>Too short chord length</v>
      </c>
      <c r="E55" s="64">
        <f>B55*$B$11</f>
        <v>4.5918467852257136E-3</v>
      </c>
      <c r="F55" s="65" t="str">
        <f>IF(E55&gt;=0.005,"OK", "Too thin")</f>
        <v>Too thin</v>
      </c>
    </row>
    <row r="56" spans="1:6" x14ac:dyDescent="0.25">
      <c r="A56" s="66">
        <f>A35</f>
        <v>0.03</v>
      </c>
      <c r="B56" s="60">
        <f>(C35)*0.683310533515731</f>
        <v>8.6117626538987566E-2</v>
      </c>
      <c r="C56" s="60">
        <f>D35</f>
        <v>39.548999999999999</v>
      </c>
      <c r="D56" s="61" t="str">
        <f t="shared" ref="D56:D69" si="2">IF(B56&gt;0.1, "Too long chord length", IF(B56&gt;=0.04, "OK", "Too short chord length"))</f>
        <v>OK</v>
      </c>
      <c r="E56" s="62">
        <f t="shared" ref="E56:E69" si="3">B56*$B$11</f>
        <v>1.205646771545826E-2</v>
      </c>
      <c r="F56" s="67" t="str">
        <f t="shared" ref="F56:F69" si="4">IF(E56&gt;=0.005,"OK", "Too thin")</f>
        <v>OK</v>
      </c>
    </row>
    <row r="57" spans="1:6" x14ac:dyDescent="0.25">
      <c r="A57" s="66">
        <f>A36</f>
        <v>5.0099999999999999E-2</v>
      </c>
      <c r="B57" s="60">
        <f>(C36)*0.683310533515731</f>
        <v>9.9893166894664709E-2</v>
      </c>
      <c r="C57" s="60">
        <f>D36</f>
        <v>31.623000000000001</v>
      </c>
      <c r="D57" s="61" t="str">
        <f t="shared" si="2"/>
        <v>OK</v>
      </c>
      <c r="E57" s="62">
        <f t="shared" si="3"/>
        <v>1.3985043365253061E-2</v>
      </c>
      <c r="F57" s="67" t="str">
        <f t="shared" si="4"/>
        <v>OK</v>
      </c>
    </row>
    <row r="58" spans="1:6" x14ac:dyDescent="0.25">
      <c r="A58" s="66">
        <f>A37</f>
        <v>6.9900000000000004E-2</v>
      </c>
      <c r="B58" s="60">
        <f>(C37)*0.683310533515731</f>
        <v>9.8642708618330924E-2</v>
      </c>
      <c r="C58" s="60">
        <f>D37</f>
        <v>25.4</v>
      </c>
      <c r="D58" s="61" t="str">
        <f t="shared" si="2"/>
        <v>OK</v>
      </c>
      <c r="E58" s="62">
        <f t="shared" si="3"/>
        <v>1.380997920656633E-2</v>
      </c>
      <c r="F58" s="67" t="str">
        <f t="shared" si="4"/>
        <v>OK</v>
      </c>
    </row>
    <row r="59" spans="1:6" x14ac:dyDescent="0.25">
      <c r="A59" s="66">
        <f>A38</f>
        <v>0.09</v>
      </c>
      <c r="B59" s="60">
        <f>(C38)*0.683310533515731</f>
        <v>9.1877934336525191E-2</v>
      </c>
      <c r="C59" s="60">
        <f>D38</f>
        <v>20.62</v>
      </c>
      <c r="D59" s="61" t="str">
        <f t="shared" si="2"/>
        <v>OK</v>
      </c>
      <c r="E59" s="62">
        <f t="shared" si="3"/>
        <v>1.2862910807113529E-2</v>
      </c>
      <c r="F59" s="67" t="str">
        <f t="shared" si="4"/>
        <v>OK</v>
      </c>
    </row>
    <row r="60" spans="1:6" x14ac:dyDescent="0.25">
      <c r="A60" s="66">
        <f>A39</f>
        <v>0.11009999999999999</v>
      </c>
      <c r="B60" s="60">
        <f>(C39)*0.683310533515731</f>
        <v>8.380120383036925E-2</v>
      </c>
      <c r="C60" s="60">
        <f>D39</f>
        <v>16.940999999999999</v>
      </c>
      <c r="D60" s="61" t="str">
        <f t="shared" si="2"/>
        <v>OK</v>
      </c>
      <c r="E60" s="62">
        <f t="shared" si="3"/>
        <v>1.1732168536251697E-2</v>
      </c>
      <c r="F60" s="67" t="str">
        <f t="shared" si="4"/>
        <v>OK</v>
      </c>
    </row>
    <row r="61" spans="1:6" x14ac:dyDescent="0.25">
      <c r="A61" s="66">
        <f>A40</f>
        <v>0.12989999999999999</v>
      </c>
      <c r="B61" s="60">
        <f>(C40)*0.683310533515731</f>
        <v>7.6031963064295383E-2</v>
      </c>
      <c r="C61" s="60">
        <f>D40</f>
        <v>14.071</v>
      </c>
      <c r="D61" s="61" t="str">
        <f t="shared" si="2"/>
        <v>OK</v>
      </c>
      <c r="E61" s="62">
        <f t="shared" si="3"/>
        <v>1.0644474829001355E-2</v>
      </c>
      <c r="F61" s="67" t="str">
        <f t="shared" si="4"/>
        <v>OK</v>
      </c>
    </row>
    <row r="62" spans="1:6" x14ac:dyDescent="0.25">
      <c r="A62" s="66">
        <f>A41</f>
        <v>0.15</v>
      </c>
      <c r="B62" s="60">
        <f>(C41)*0.683310533515731</f>
        <v>6.9082694938440409E-2</v>
      </c>
      <c r="C62" s="60">
        <f>D41</f>
        <v>11.792999999999999</v>
      </c>
      <c r="D62" s="61" t="str">
        <f t="shared" si="2"/>
        <v>OK</v>
      </c>
      <c r="E62" s="62">
        <f t="shared" si="3"/>
        <v>9.6715772913816573E-3</v>
      </c>
      <c r="F62" s="67" t="str">
        <f t="shared" si="4"/>
        <v>OK</v>
      </c>
    </row>
    <row r="63" spans="1:6" x14ac:dyDescent="0.25">
      <c r="A63" s="66">
        <f>A42</f>
        <v>0.17009999999999997</v>
      </c>
      <c r="B63" s="60">
        <f>(C42)*0.683310533515731</f>
        <v>6.2994398084815245E-2</v>
      </c>
      <c r="C63" s="60">
        <f>D42</f>
        <v>9.9540000000000006</v>
      </c>
      <c r="D63" s="61" t="str">
        <f t="shared" si="2"/>
        <v>OK</v>
      </c>
      <c r="E63" s="62">
        <f t="shared" si="3"/>
        <v>8.819215731874136E-3</v>
      </c>
      <c r="F63" s="67" t="str">
        <f t="shared" si="4"/>
        <v>OK</v>
      </c>
    </row>
    <row r="64" spans="1:6" ht="16.5" thickBot="1" x14ac:dyDescent="0.3">
      <c r="A64" s="66">
        <f>A43</f>
        <v>0.18989999999999999</v>
      </c>
      <c r="B64" s="60">
        <f>(C43)*0.683310533515731</f>
        <v>5.7746573187414427E-2</v>
      </c>
      <c r="C64" s="60">
        <f>D43</f>
        <v>8.4440000000000008</v>
      </c>
      <c r="D64" s="61" t="str">
        <f t="shared" si="2"/>
        <v>OK</v>
      </c>
      <c r="E64" s="62">
        <f t="shared" si="3"/>
        <v>8.0845202462380208E-3</v>
      </c>
      <c r="F64" s="67" t="str">
        <f t="shared" si="4"/>
        <v>OK</v>
      </c>
    </row>
    <row r="65" spans="1:6" x14ac:dyDescent="0.25">
      <c r="A65" s="59">
        <f>A44</f>
        <v>0.21</v>
      </c>
      <c r="B65" s="58">
        <f>(C44)*0.683310533515731</f>
        <v>5.3195725034199663E-2</v>
      </c>
      <c r="C65" s="58">
        <f>D44</f>
        <v>7.1859999999999999</v>
      </c>
      <c r="D65" s="63" t="str">
        <f>IF(B65&gt;0.1, "Too long chord length", IF(B65&gt;=0.04, "OK", "Too short chord length"))</f>
        <v>OK</v>
      </c>
      <c r="E65" s="64">
        <f>B65*$B$11</f>
        <v>7.4474015047879538E-3</v>
      </c>
      <c r="F65" s="65" t="str">
        <f>IF(E65&gt;=0.005,"OK", "Too thin")</f>
        <v>OK</v>
      </c>
    </row>
    <row r="66" spans="1:6" x14ac:dyDescent="0.25">
      <c r="A66" s="66">
        <f>A45</f>
        <v>0.2301</v>
      </c>
      <c r="B66" s="60">
        <f>(C45)*0.683310533515731</f>
        <v>4.9239357045143574E-2</v>
      </c>
      <c r="C66" s="60">
        <f>D45</f>
        <v>6.1230000000000002</v>
      </c>
      <c r="D66" s="61" t="str">
        <f t="shared" si="2"/>
        <v>OK</v>
      </c>
      <c r="E66" s="62">
        <f t="shared" si="3"/>
        <v>6.893509986320101E-3</v>
      </c>
      <c r="F66" s="67" t="str">
        <f t="shared" si="4"/>
        <v>OK</v>
      </c>
    </row>
    <row r="67" spans="1:6" x14ac:dyDescent="0.25">
      <c r="A67" s="66">
        <f>A46</f>
        <v>0.24989999999999998</v>
      </c>
      <c r="B67" s="60">
        <f>(C46)*0.683310533515731</f>
        <v>4.5795471956224292E-2</v>
      </c>
      <c r="C67" s="60">
        <f>D46</f>
        <v>5.2160000000000002</v>
      </c>
      <c r="D67" s="61" t="str">
        <f t="shared" si="2"/>
        <v>OK</v>
      </c>
      <c r="E67" s="62">
        <f t="shared" si="3"/>
        <v>6.4113660738714011E-3</v>
      </c>
      <c r="F67" s="67" t="str">
        <f t="shared" si="4"/>
        <v>OK</v>
      </c>
    </row>
    <row r="68" spans="1:6" x14ac:dyDescent="0.25">
      <c r="A68" s="66">
        <f>A47</f>
        <v>0.27</v>
      </c>
      <c r="B68" s="60">
        <f>(C47)*0.683310533515731</f>
        <v>4.2782072503419921E-2</v>
      </c>
      <c r="C68" s="60">
        <f>D47</f>
        <v>4.4320000000000004</v>
      </c>
      <c r="D68" s="61" t="str">
        <f t="shared" si="2"/>
        <v>OK</v>
      </c>
      <c r="E68" s="62">
        <f t="shared" si="3"/>
        <v>5.9894901504787892E-3</v>
      </c>
      <c r="F68" s="67" t="str">
        <f t="shared" si="4"/>
        <v>OK</v>
      </c>
    </row>
    <row r="69" spans="1:6" x14ac:dyDescent="0.25">
      <c r="A69" s="66">
        <f>A48</f>
        <v>0.29009999999999997</v>
      </c>
      <c r="B69" s="60">
        <f>(C48)*0.683310533515731</f>
        <v>4.0096662106703096E-2</v>
      </c>
      <c r="C69" s="60">
        <f>D48</f>
        <v>3.75</v>
      </c>
      <c r="D69" s="61" t="str">
        <f t="shared" si="2"/>
        <v>OK</v>
      </c>
      <c r="E69" s="62">
        <f t="shared" si="3"/>
        <v>5.6135326949384341E-3</v>
      </c>
      <c r="F69" s="67" t="str">
        <f t="shared" si="4"/>
        <v>OK</v>
      </c>
    </row>
    <row r="70" spans="1:6" ht="16.5" thickBot="1" x14ac:dyDescent="0.3">
      <c r="A70" s="68">
        <f>A49</f>
        <v>0.3</v>
      </c>
      <c r="B70" s="69">
        <f>(C49)*0.683310533515731</f>
        <v>4.0096662106703096E-2</v>
      </c>
      <c r="C70" s="69">
        <f>D49</f>
        <v>3.75</v>
      </c>
      <c r="D70" s="70" t="str">
        <f>IF(B70&gt;0.1, "Too long chord length", IF(B70&gt;=0.04, "OK", "Too short chord length"))</f>
        <v>OK</v>
      </c>
      <c r="E70" s="71">
        <f>B70*$B$11</f>
        <v>5.6135326949384341E-3</v>
      </c>
      <c r="F70" s="72" t="str">
        <f>IF(E70&gt;=0.005,"OK", "Too thin")</f>
        <v>OK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9741a5-fdb6-458f-98c1-97c2a9b7c0c4">
      <Terms xmlns="http://schemas.microsoft.com/office/infopath/2007/PartnerControls"/>
    </lcf76f155ced4ddcb4097134ff3c332f>
    <TaxCatchAll xmlns="849ea56d-8af4-46e6-a2b1-2fcbbed7d94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959606BD4CBE94ABE0E8F8E1B1E2696" ma:contentTypeVersion="10" ma:contentTypeDescription="Create a new document." ma:contentTypeScope="" ma:versionID="792cc64fc3ebb32460c138ed5509b1a5">
  <xsd:schema xmlns:xsd="http://www.w3.org/2001/XMLSchema" xmlns:xs="http://www.w3.org/2001/XMLSchema" xmlns:p="http://schemas.microsoft.com/office/2006/metadata/properties" xmlns:ns2="379741a5-fdb6-458f-98c1-97c2a9b7c0c4" xmlns:ns3="849ea56d-8af4-46e6-a2b1-2fcbbed7d94d" targetNamespace="http://schemas.microsoft.com/office/2006/metadata/properties" ma:root="true" ma:fieldsID="daee7148664ad7ef77400b2c1c5be18b" ns2:_="" ns3:_="">
    <xsd:import namespace="379741a5-fdb6-458f-98c1-97c2a9b7c0c4"/>
    <xsd:import namespace="849ea56d-8af4-46e6-a2b1-2fcbbed7d9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9741a5-fdb6-458f-98c1-97c2a9b7c0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9ea56d-8af4-46e6-a2b1-2fcbbed7d94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67af1af-2294-40b3-8abb-87d668b54eeb}" ma:internalName="TaxCatchAll" ma:showField="CatchAllData" ma:web="849ea56d-8af4-46e6-a2b1-2fcbbed7d94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B8DB769-2E7A-4910-BE9A-1B8696714E24}">
  <ds:schemaRefs>
    <ds:schemaRef ds:uri="http://purl.org/dc/terms/"/>
    <ds:schemaRef ds:uri="http://www.w3.org/XML/1998/namespace"/>
    <ds:schemaRef ds:uri="http://purl.org/dc/elements/1.1/"/>
    <ds:schemaRef ds:uri="849ea56d-8af4-46e6-a2b1-2fcbbed7d94d"/>
    <ds:schemaRef ds:uri="379741a5-fdb6-458f-98c1-97c2a9b7c0c4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34E9075D-B18E-410E-AC14-1EB65EA3CCD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E5AD5A7-2A41-40C2-84DE-655C92105A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9741a5-fdb6-458f-98c1-97c2a9b7c0c4"/>
    <ds:schemaRef ds:uri="849ea56d-8af4-46e6-a2b1-2fcbbed7d9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9a10672-822f-4467-a5ba-5bb375967c05}" enabled="0" method="" siteId="{09a10672-822f-4467-a5ba-5bb375967c0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Insert and Adjust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Markus Granrud Arntzen</cp:lastModifiedBy>
  <cp:revision/>
  <dcterms:created xsi:type="dcterms:W3CDTF">2023-09-01T12:40:28Z</dcterms:created>
  <dcterms:modified xsi:type="dcterms:W3CDTF">2026-09-24T15:53:01Z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0x0101000959606BD4CBE94ABE0E8F8E1B1E2696</vt:lpwstr>
  </property>
  <property fmtid="{D5CDD505-2E9C-101B-9397-08002B2CF9AE}" pid="3" name="MediaServiceImageTags">
    <vt:lpwstr/>
  </property>
</Properties>
</file>